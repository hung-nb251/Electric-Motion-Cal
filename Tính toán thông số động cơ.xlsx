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guy\OneDrive\Desktop\Tài liệu học tập\EE4332-20261\EM Project\"/>
    </mc:Choice>
  </mc:AlternateContent>
  <xr:revisionPtr revIDLastSave="0" documentId="13_ncr:1_{C63B21E1-4F1A-491F-939F-CD264100A34E}" xr6:coauthVersionLast="47" xr6:coauthVersionMax="47" xr10:uidLastSave="{00000000-0000-0000-0000-000000000000}"/>
  <bookViews>
    <workbookView xWindow="-120" yWindow="-120" windowWidth="29040" windowHeight="15720" firstSheet="2" activeTab="5" xr2:uid="{00000000-000D-0000-FFFF-FFFF00000000}"/>
  </bookViews>
  <sheets>
    <sheet name="Tính toán chi tiết động cơ a=1" sheetId="2" r:id="rId1"/>
    <sheet name="Tính toán chi tiết động cơ a=6" sheetId="3" r:id="rId2"/>
    <sheet name="Copy of Tính toán chi tiết động" sheetId="4" r:id="rId3"/>
    <sheet name="20251_IM_Params_Calculation" sheetId="5" r:id="rId4"/>
    <sheet name="Copy of 20251_IM_Params_Calcula" sheetId="6" r:id="rId5"/>
    <sheet name="Tính chọn thiết bị đi kè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3" i="6" l="1"/>
  <c r="C33" i="6"/>
  <c r="M32" i="6"/>
  <c r="C32" i="6"/>
  <c r="M14" i="6"/>
  <c r="F14" i="6"/>
  <c r="C14" i="6"/>
  <c r="M13" i="6"/>
  <c r="M12" i="6"/>
  <c r="M16" i="6" s="1"/>
  <c r="C12" i="6"/>
  <c r="C16" i="6" s="1"/>
  <c r="M11" i="6"/>
  <c r="Q7" i="6"/>
  <c r="G7" i="6"/>
  <c r="C3" i="6"/>
  <c r="C11" i="6" s="1"/>
  <c r="C13" i="6" s="1"/>
  <c r="M33" i="5"/>
  <c r="C33" i="5"/>
  <c r="M32" i="5"/>
  <c r="C32" i="5"/>
  <c r="M14" i="5"/>
  <c r="C14" i="5"/>
  <c r="C15" i="5" s="1"/>
  <c r="M12" i="5"/>
  <c r="M16" i="5" s="1"/>
  <c r="C12" i="5"/>
  <c r="C16" i="5" s="1"/>
  <c r="M11" i="5"/>
  <c r="C11" i="5"/>
  <c r="Q7" i="5"/>
  <c r="G7" i="5"/>
  <c r="C45" i="4"/>
  <c r="C44" i="4"/>
  <c r="C42" i="4"/>
  <c r="M35" i="4"/>
  <c r="M30" i="4"/>
  <c r="M32" i="4" s="1"/>
  <c r="M28" i="4"/>
  <c r="M27" i="4"/>
  <c r="M24" i="4"/>
  <c r="M23" i="4"/>
  <c r="M25" i="4" s="1"/>
  <c r="M22" i="4"/>
  <c r="E22" i="4"/>
  <c r="E23" i="4" s="1"/>
  <c r="D27" i="4" s="1"/>
  <c r="E21" i="4"/>
  <c r="E18" i="4"/>
  <c r="E19" i="4" s="1"/>
  <c r="E20" i="4" s="1"/>
  <c r="M16" i="4"/>
  <c r="M15" i="4"/>
  <c r="M17" i="4" s="1"/>
  <c r="M13" i="4"/>
  <c r="M12" i="4"/>
  <c r="M9" i="4"/>
  <c r="M7" i="4"/>
  <c r="M8" i="4" s="1"/>
  <c r="C45" i="3"/>
  <c r="C44" i="3"/>
  <c r="C42" i="3"/>
  <c r="M35" i="3"/>
  <c r="M32" i="3"/>
  <c r="M30" i="3"/>
  <c r="M31" i="3" s="1"/>
  <c r="M33" i="3" s="1"/>
  <c r="M27" i="3"/>
  <c r="M28" i="3" s="1"/>
  <c r="M24" i="3"/>
  <c r="M25" i="3" s="1"/>
  <c r="M23" i="3"/>
  <c r="E23" i="3"/>
  <c r="D27" i="3" s="1"/>
  <c r="M22" i="3"/>
  <c r="E22" i="3"/>
  <c r="E21" i="3"/>
  <c r="E18" i="3"/>
  <c r="E19" i="3" s="1"/>
  <c r="E20" i="3" s="1"/>
  <c r="M17" i="3"/>
  <c r="M16" i="3"/>
  <c r="M18" i="3" s="1"/>
  <c r="M15" i="3"/>
  <c r="M12" i="3"/>
  <c r="M13" i="3" s="1"/>
  <c r="M7" i="3"/>
  <c r="M9" i="3" s="1"/>
  <c r="C45" i="2"/>
  <c r="C44" i="2"/>
  <c r="C42" i="2"/>
  <c r="M38" i="2"/>
  <c r="M37" i="2"/>
  <c r="M35" i="2"/>
  <c r="M36" i="2" s="1"/>
  <c r="E24" i="3" l="1"/>
  <c r="D28" i="3"/>
  <c r="M18" i="4"/>
  <c r="M10" i="4"/>
  <c r="M34" i="4" s="1"/>
  <c r="M37" i="4"/>
  <c r="E24" i="4"/>
  <c r="D28" i="4"/>
  <c r="C17" i="5"/>
  <c r="C18" i="5"/>
  <c r="C13" i="5"/>
  <c r="P14" i="6"/>
  <c r="C15" i="6"/>
  <c r="C17" i="6" s="1"/>
  <c r="M15" i="6"/>
  <c r="M17" i="6" s="1"/>
  <c r="M8" i="3"/>
  <c r="F14" i="5"/>
  <c r="M13" i="5"/>
  <c r="P14" i="5"/>
  <c r="M15" i="5"/>
  <c r="M17" i="5" s="1"/>
  <c r="M31" i="4"/>
  <c r="M33" i="4" s="1"/>
  <c r="F22" i="5" l="1"/>
  <c r="C22" i="5"/>
  <c r="C18" i="6"/>
  <c r="M18" i="5"/>
  <c r="M18" i="6"/>
  <c r="M10" i="3"/>
  <c r="M34" i="3" s="1"/>
  <c r="M37" i="3"/>
  <c r="M38" i="4"/>
  <c r="M36" i="4"/>
  <c r="C19" i="5"/>
  <c r="D26" i="4"/>
  <c r="P22" i="6" l="1"/>
  <c r="M19" i="6"/>
  <c r="M36" i="3"/>
  <c r="M38" i="3"/>
  <c r="D26" i="3" s="1"/>
  <c r="C19" i="6"/>
  <c r="C22" i="6" s="1"/>
  <c r="F22" i="6"/>
  <c r="C20" i="5"/>
  <c r="C21" i="5"/>
  <c r="M22" i="5"/>
  <c r="P22" i="5"/>
  <c r="M19" i="5"/>
  <c r="C23" i="5" l="1"/>
  <c r="M20" i="6"/>
  <c r="M21" i="6"/>
  <c r="C20" i="6"/>
  <c r="C21" i="6"/>
  <c r="M22" i="6"/>
  <c r="C24" i="5"/>
  <c r="M20" i="5"/>
  <c r="M21" i="5"/>
  <c r="M23" i="5" l="1"/>
  <c r="M24" i="5"/>
  <c r="C23" i="6"/>
  <c r="C25" i="6"/>
  <c r="C26" i="6" s="1"/>
  <c r="M24" i="6"/>
  <c r="G16" i="6"/>
  <c r="G19" i="6"/>
  <c r="C24" i="6"/>
  <c r="M23" i="6"/>
  <c r="C25" i="5"/>
  <c r="F27" i="6" l="1"/>
  <c r="G25" i="6"/>
  <c r="C28" i="6"/>
  <c r="F25" i="6"/>
  <c r="C27" i="6"/>
  <c r="C29" i="6" s="1"/>
  <c r="C31" i="6" s="1"/>
  <c r="M27" i="6"/>
  <c r="C29" i="5"/>
  <c r="C31" i="5" s="1"/>
  <c r="C28" i="5"/>
  <c r="F25" i="5"/>
  <c r="C26" i="5"/>
  <c r="M25" i="6"/>
  <c r="C27" i="5"/>
  <c r="M25" i="5"/>
  <c r="M27" i="5" s="1"/>
  <c r="C34" i="5" l="1"/>
  <c r="M28" i="5"/>
  <c r="M29" i="5"/>
  <c r="M31" i="5" s="1"/>
  <c r="P25" i="5"/>
  <c r="M26" i="5"/>
  <c r="M30" i="5" s="1"/>
  <c r="C30" i="6"/>
  <c r="C35" i="6" s="1"/>
  <c r="M29" i="6"/>
  <c r="M31" i="6" s="1"/>
  <c r="M28" i="6"/>
  <c r="P25" i="6"/>
  <c r="M26" i="6"/>
  <c r="C30" i="5"/>
  <c r="C35" i="5" s="1"/>
  <c r="M35" i="5" l="1"/>
  <c r="M34" i="5"/>
  <c r="C36" i="5"/>
  <c r="F36" i="5" s="1"/>
  <c r="F35" i="5" s="1"/>
  <c r="C34" i="6"/>
  <c r="M30" i="6"/>
  <c r="M35" i="6" s="1"/>
  <c r="C36" i="6" l="1"/>
  <c r="F36" i="6" s="1"/>
  <c r="F35" i="6" s="1"/>
  <c r="F34" i="6"/>
  <c r="F34" i="5"/>
  <c r="P35" i="5"/>
  <c r="M36" i="5"/>
  <c r="P36" i="5" s="1"/>
  <c r="P34" i="5"/>
  <c r="M34" i="6"/>
  <c r="M36" i="6" l="1"/>
  <c r="P36" i="6" s="1"/>
  <c r="P34" i="6"/>
  <c r="P35" i="6"/>
</calcChain>
</file>

<file path=xl/sharedStrings.xml><?xml version="1.0" encoding="utf-8"?>
<sst xmlns="http://schemas.openxmlformats.org/spreadsheetml/2006/main" count="1201" uniqueCount="277">
  <si>
    <t xml:space="preserve">Quãng đường di chuyển xấp xỉ 9m </t>
  </si>
  <si>
    <t>Thiết kế truyền động cơ cấu xe con cầu trục với thông số như sau:</t>
  </si>
  <si>
    <t>STT</t>
  </si>
  <si>
    <t>Thông số</t>
  </si>
  <si>
    <t>Kí hiệu</t>
  </si>
  <si>
    <t>Công thức tính</t>
  </si>
  <si>
    <t>Giá trị</t>
  </si>
  <si>
    <t>Đơn vị</t>
  </si>
  <si>
    <t>Hàng đơn vị của STT trong ds lớp</t>
  </si>
  <si>
    <t>x</t>
  </si>
  <si>
    <t>Có tải</t>
  </si>
  <si>
    <t>Thời gian tăng tốc</t>
  </si>
  <si>
    <t>t1</t>
  </si>
  <si>
    <t>s</t>
  </si>
  <si>
    <t>Tải trọng định mức</t>
  </si>
  <si>
    <t>M</t>
  </si>
  <si>
    <t>kg</t>
  </si>
  <si>
    <t>Tăng đến giá trị vận tốc</t>
  </si>
  <si>
    <t>v1</t>
  </si>
  <si>
    <t>m/s</t>
  </si>
  <si>
    <t>Khối lượng cơ cấu nâng hạ</t>
  </si>
  <si>
    <t>m</t>
  </si>
  <si>
    <t>Gia tốc khi tăng tốc</t>
  </si>
  <si>
    <t>a1</t>
  </si>
  <si>
    <t>a1=v1/t1</t>
  </si>
  <si>
    <t>m/s^2</t>
  </si>
  <si>
    <t>Chiều cao nâng</t>
  </si>
  <si>
    <t>h</t>
  </si>
  <si>
    <t>Lực khi tăng tốc</t>
  </si>
  <si>
    <t>Ft1</t>
  </si>
  <si>
    <t>Ft1=(M+m)*(mu*g+a1)</t>
  </si>
  <si>
    <t>N</t>
  </si>
  <si>
    <t>Tốc độ tối đa</t>
  </si>
  <si>
    <t>v</t>
  </si>
  <si>
    <t>Tốc độ trung bình khi tăng tốc</t>
  </si>
  <si>
    <t>vtb1</t>
  </si>
  <si>
    <t>vtb1=s1/t1=1/2*a1*t1</t>
  </si>
  <si>
    <t>Gia tốc cực đại</t>
  </si>
  <si>
    <t>a</t>
  </si>
  <si>
    <t>Công suất trung bình khi tăng tốc</t>
  </si>
  <si>
    <t>P1</t>
  </si>
  <si>
    <t>P1=Ft1*vtb1</t>
  </si>
  <si>
    <t>W</t>
  </si>
  <si>
    <t>Độ giật cực đại</t>
  </si>
  <si>
    <t>rô</t>
  </si>
  <si>
    <t>m/s^3</t>
  </si>
  <si>
    <t>Thời gian cđ thẳng đều</t>
  </si>
  <si>
    <t>t2</t>
  </si>
  <si>
    <t>Đường kính bánh xe</t>
  </si>
  <si>
    <t>d</t>
  </si>
  <si>
    <t>Lực khi cđ đều</t>
  </si>
  <si>
    <t>F2</t>
  </si>
  <si>
    <t>F2=(M+m)*mu*g</t>
  </si>
  <si>
    <t>Tỷ số truyền</t>
  </si>
  <si>
    <t>i</t>
  </si>
  <si>
    <t>Công suất trung bình khi cđ đều</t>
  </si>
  <si>
    <t>P2</t>
  </si>
  <si>
    <t>P2=F2*v1</t>
  </si>
  <si>
    <t>Hệ số ma sát trượt</t>
  </si>
  <si>
    <t>mu</t>
  </si>
  <si>
    <t>Thời gian giảm tốc</t>
  </si>
  <si>
    <t>t3</t>
  </si>
  <si>
    <t>Hiệu suất truyền động</t>
  </si>
  <si>
    <t>eta</t>
  </si>
  <si>
    <t>Gia tốc khi giảm tốc</t>
  </si>
  <si>
    <t>a2</t>
  </si>
  <si>
    <t>a2=-v1/t3</t>
  </si>
  <si>
    <t>Hệ số dự trữ</t>
  </si>
  <si>
    <t>k</t>
  </si>
  <si>
    <t>Lực khi giảm tốc</t>
  </si>
  <si>
    <t>Fg2</t>
  </si>
  <si>
    <t>Fg2=(M+m)*(mu*g+a2)</t>
  </si>
  <si>
    <t>Gia tốc trọng trường</t>
  </si>
  <si>
    <t>g</t>
  </si>
  <si>
    <t>Tốc độ trung bình khi giảm tốc</t>
  </si>
  <si>
    <t>vtb2</t>
  </si>
  <si>
    <t>vtb2=-1/2*a2*t3</t>
  </si>
  <si>
    <t>Lực phát động của động cơ</t>
  </si>
  <si>
    <t>F</t>
  </si>
  <si>
    <t>F=(M+m)*(mu*g+a)</t>
  </si>
  <si>
    <t>Công suất trung bình khi giảm tốc</t>
  </si>
  <si>
    <t>P3</t>
  </si>
  <si>
    <t>P3=Fg2*vtb2</t>
  </si>
  <si>
    <t>Momen trên trục bánh xe</t>
  </si>
  <si>
    <t>T</t>
  </si>
  <si>
    <t>T=F*d/2</t>
  </si>
  <si>
    <t>Nm</t>
  </si>
  <si>
    <t>Thời gian nghỉ</t>
  </si>
  <si>
    <t>denta t</t>
  </si>
  <si>
    <t>Momen trên trục động cơ</t>
  </si>
  <si>
    <t>Tdc</t>
  </si>
  <si>
    <t>Tdc=k*T/(eta*i)</t>
  </si>
  <si>
    <t>Không tải</t>
  </si>
  <si>
    <t>t4</t>
  </si>
  <si>
    <t>Tốc độ góc bánh xe</t>
  </si>
  <si>
    <t>omega</t>
  </si>
  <si>
    <t>omega=2*v/d</t>
  </si>
  <si>
    <t>rad/s</t>
  </si>
  <si>
    <t>Tốc độ quay bánh xe</t>
  </si>
  <si>
    <t>n</t>
  </si>
  <si>
    <t>n=(60*omega/2pi)</t>
  </si>
  <si>
    <t>rpm</t>
  </si>
  <si>
    <t>a3</t>
  </si>
  <si>
    <t>a3=v1/t4</t>
  </si>
  <si>
    <t>Tốc độ quay động cơ</t>
  </si>
  <si>
    <t>ndc</t>
  </si>
  <si>
    <t>ndc=n*i</t>
  </si>
  <si>
    <t>Ft2</t>
  </si>
  <si>
    <t>Ft2=m*(mu*g+a3)</t>
  </si>
  <si>
    <t>Công suất động cơ cần thiết</t>
  </si>
  <si>
    <t>P</t>
  </si>
  <si>
    <t>P=(2pi/60)(Tdc*ndc/eta)</t>
  </si>
  <si>
    <t>vtb3</t>
  </si>
  <si>
    <t>vtb3=1/2*a3*t4</t>
  </si>
  <si>
    <t>a=1</t>
  </si>
  <si>
    <t>P4</t>
  </si>
  <si>
    <t>P4=Ft2*vtb3</t>
  </si>
  <si>
    <t>a=6</t>
  </si>
  <si>
    <t>Cần lựa chọn động cơ thỏa mãn</t>
  </si>
  <si>
    <t>Công suất định mức</t>
  </si>
  <si>
    <t>P&gt;</t>
  </si>
  <si>
    <t>Pn</t>
  </si>
  <si>
    <t>kW</t>
  </si>
  <si>
    <t>t5</t>
  </si>
  <si>
    <t>Điện áp định mức</t>
  </si>
  <si>
    <t>Un</t>
  </si>
  <si>
    <t>Vrms</t>
  </si>
  <si>
    <t>Chọn động cơ M3AA 132ME 6 như hình dưới</t>
  </si>
  <si>
    <t>Dòng điện định mức</t>
  </si>
  <si>
    <t>ndc&gt;</t>
  </si>
  <si>
    <t>In</t>
  </si>
  <si>
    <t>Arms</t>
  </si>
  <si>
    <t>F2=m*mu*g</t>
  </si>
  <si>
    <t>Tần số định mức</t>
  </si>
  <si>
    <t>fn</t>
  </si>
  <si>
    <t>Hz</t>
  </si>
  <si>
    <t>Tdc&gt;</t>
  </si>
  <si>
    <t>Mô-men định mức</t>
  </si>
  <si>
    <t>Mn</t>
  </si>
  <si>
    <t>P5</t>
  </si>
  <si>
    <t>P5=F2*v1</t>
  </si>
  <si>
    <t>cos phi định mức</t>
  </si>
  <si>
    <t>cos(phi)</t>
  </si>
  <si>
    <t>phi</t>
  </si>
  <si>
    <t>t6</t>
  </si>
  <si>
    <t>a4</t>
  </si>
  <si>
    <t>a4=-v1/t6</t>
  </si>
  <si>
    <t>Thông số động cơ</t>
  </si>
  <si>
    <t>Tốc độ định mức</t>
  </si>
  <si>
    <t>v/ph</t>
  </si>
  <si>
    <t>Số đôi cực</t>
  </si>
  <si>
    <t>Fg2=m*(mu*g+a4)</t>
  </si>
  <si>
    <t>pp</t>
  </si>
  <si>
    <t>Trở kháng pha</t>
  </si>
  <si>
    <t>Zph</t>
  </si>
  <si>
    <t>Ký hiệu</t>
  </si>
  <si>
    <t>vtb4</t>
  </si>
  <si>
    <t>vtb4=-1/2*a4*t6</t>
  </si>
  <si>
    <t>Ohm</t>
  </si>
  <si>
    <t>Hệ số trượt định mức</t>
  </si>
  <si>
    <t>sn</t>
  </si>
  <si>
    <t>P6</t>
  </si>
  <si>
    <t>P6=Fg2*vtb4</t>
  </si>
  <si>
    <t>Pđm</t>
  </si>
  <si>
    <t>Công suất hiệu dụng của động cơ</t>
  </si>
  <si>
    <t>Phd</t>
  </si>
  <si>
    <t>Phd=sqrt((P1^2*t1+P2^2*t2+P3^2*t3+P4^2*t5+P5^2*t6+P6^2*t7)/(t1+t2+t3+t4+t5+t6+T7))</t>
  </si>
  <si>
    <t>Điện trở Rotor</t>
  </si>
  <si>
    <t>Điện áp dây định mức</t>
  </si>
  <si>
    <t>Rr</t>
  </si>
  <si>
    <t>V</t>
  </si>
  <si>
    <t>U1đm</t>
  </si>
  <si>
    <t>Tốc độ định mức của động cơ</t>
  </si>
  <si>
    <t>omega m</t>
  </si>
  <si>
    <t>omega m=v/r*i=2v*i/d</t>
  </si>
  <si>
    <t>Dòng từ hóa định mức</t>
  </si>
  <si>
    <t>IsdN</t>
  </si>
  <si>
    <t>r/min</t>
  </si>
  <si>
    <t>nđm</t>
  </si>
  <si>
    <t>Momen hiệu dụng ứng với công suất hiệu dụng (Momen định mức)</t>
  </si>
  <si>
    <t>A</t>
  </si>
  <si>
    <t>Thd</t>
  </si>
  <si>
    <t>Thd=Phd/omega m</t>
  </si>
  <si>
    <t>Hiệu suất 100% tải</t>
  </si>
  <si>
    <t>%</t>
  </si>
  <si>
    <t>Momen mở máy</t>
  </si>
  <si>
    <t>Tm</t>
  </si>
  <si>
    <t>Tm=Fmax*r/(i*eta)         =(Fmax*d)/(2*i*eta)</t>
  </si>
  <si>
    <t>Dòng phần ứng định mức</t>
  </si>
  <si>
    <t>IsqN</t>
  </si>
  <si>
    <t>Hiệu suất 75% tải</t>
  </si>
  <si>
    <t>Công suất lựa chọn</t>
  </si>
  <si>
    <t>Pchon</t>
  </si>
  <si>
    <t>Pchon=Pdm*kdutru/eta</t>
  </si>
  <si>
    <t>Tốc độ trượt</t>
  </si>
  <si>
    <t>Hiệu suất 50% tải</t>
  </si>
  <si>
    <t>w_sl</t>
  </si>
  <si>
    <t>Hệ số công suất</t>
  </si>
  <si>
    <t>cosphi</t>
  </si>
  <si>
    <t>Dòng điện stator định mức</t>
  </si>
  <si>
    <t>I1đm</t>
  </si>
  <si>
    <t>Dòng điện stator khởi động</t>
  </si>
  <si>
    <t>Is</t>
  </si>
  <si>
    <t>Hằng số thời gian Rotor</t>
  </si>
  <si>
    <t>Tr</t>
  </si>
  <si>
    <t>Momen định mức</t>
  </si>
  <si>
    <t>Tn</t>
  </si>
  <si>
    <t>Momen khởi động</t>
  </si>
  <si>
    <t>Ts</t>
  </si>
  <si>
    <t>Momen tới hạn</t>
  </si>
  <si>
    <t>Điện kháng tản Stator</t>
  </si>
  <si>
    <t>Xsigma</t>
  </si>
  <si>
    <t>Tmax</t>
  </si>
  <si>
    <t>Số cặp cực</t>
  </si>
  <si>
    <t>cặp</t>
  </si>
  <si>
    <t>Momen quán tính</t>
  </si>
  <si>
    <t>kgm^2</t>
  </si>
  <si>
    <t>J</t>
  </si>
  <si>
    <t>Khối lượng</t>
  </si>
  <si>
    <t xml:space="preserve">kg </t>
  </si>
  <si>
    <t>3,3</t>
  </si>
  <si>
    <t>Điện kháng chính</t>
  </si>
  <si>
    <t>Xs</t>
  </si>
  <si>
    <t>Chọn động cơ M3AA 160MLA 4 như hình dưới</t>
  </si>
  <si>
    <t>Điện cảm chính</t>
  </si>
  <si>
    <t>Ls</t>
  </si>
  <si>
    <t>H</t>
  </si>
  <si>
    <t>Điện trở Stator</t>
  </si>
  <si>
    <t>Rs</t>
  </si>
  <si>
    <t>Hệ số rò</t>
  </si>
  <si>
    <t>sigma</t>
  </si>
  <si>
    <t>Hằng số thời gian Stator</t>
  </si>
  <si>
    <t>Điểm cảm Rotor</t>
  </si>
  <si>
    <t>Lr</t>
  </si>
  <si>
    <t>Hỗ cảm</t>
  </si>
  <si>
    <t>Lm</t>
  </si>
  <si>
    <t>Chọn động cơ M3AA 160MLB 6 như hình dưới</t>
  </si>
  <si>
    <t>Điện cảm rò Stator</t>
  </si>
  <si>
    <t>L_s</t>
  </si>
  <si>
    <t>Điện cảm rò Rotor</t>
  </si>
  <si>
    <t>L_r</t>
  </si>
  <si>
    <t>Từ thông Rotor</t>
  </si>
  <si>
    <t>Psi_rN</t>
  </si>
  <si>
    <t>Wb</t>
  </si>
  <si>
    <t>Hệ số MBA</t>
  </si>
  <si>
    <t>kr</t>
  </si>
  <si>
    <t>Điện cảm đẳng trị</t>
  </si>
  <si>
    <t>Le</t>
  </si>
  <si>
    <t>Điện trở đẳng trị</t>
  </si>
  <si>
    <t>Re</t>
  </si>
  <si>
    <t>Tốc độ đồng bộ</t>
  </si>
  <si>
    <t>ws</t>
  </si>
  <si>
    <t>Ti</t>
  </si>
  <si>
    <t>Tốc độ điện rotor</t>
  </si>
  <si>
    <t>we</t>
  </si>
  <si>
    <t>Tb</t>
  </si>
  <si>
    <t>Điện áp kênh d định mức</t>
  </si>
  <si>
    <t>Usd</t>
  </si>
  <si>
    <t>Điện áp kênh q định mức</t>
  </si>
  <si>
    <t>Usq</t>
  </si>
  <si>
    <t>Điện áp stator định mức</t>
  </si>
  <si>
    <t>Us,rms</t>
  </si>
  <si>
    <t>a=3</t>
  </si>
  <si>
    <t>Thiết bị</t>
  </si>
  <si>
    <t>Tính toán</t>
  </si>
  <si>
    <t>Lựa chọn</t>
  </si>
  <si>
    <t>Thông số thiết bị</t>
  </si>
  <si>
    <t>Biến tần</t>
  </si>
  <si>
    <t>Chọn biến tần có công suất gấp 1.3 lần công suất định mức động cơ:
𝑃_𝑏𝑡  = 1,3.𝑃 =1,3 . 11000=14300 (𝑊)</t>
  </si>
  <si>
    <t>ABB ACS355-03E-31A0-4 3P 15kW 20HP</t>
  </si>
  <si>
    <t>https://ple.vn/bientan/abb/acs355/acs355-03e-31a0-4-detail.html</t>
  </si>
  <si>
    <t>Cảm biến dòng</t>
  </si>
  <si>
    <t>Dải đo 0-200A</t>
  </si>
  <si>
    <t>CT 200/5A ABB CT PRO XT 200</t>
  </si>
  <si>
    <t>https://imall.vn/bien-dong-ct-200-5a-abb-ct-pro-xt-200-2csg225805r1101</t>
  </si>
  <si>
    <t>Cảm biến tốc độ</t>
  </si>
  <si>
    <t>ABB 2TLA020070R3700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</si>
</sst>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d\.m"/>
  </numFmts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3"/>
      <color rgb="FF000000"/>
      <name val="&quot;Times New Roman&quot;"/>
    </font>
    <font>
      <sz val="11"/>
      <color rgb="FF000000"/>
      <name val="Arial"/>
    </font>
    <font>
      <sz val="11"/>
      <color rgb="FFFF0000"/>
      <name val="Arial"/>
    </font>
    <font>
      <sz val="13"/>
      <color theme="1"/>
      <name val="Arial"/>
      <scheme val="minor"/>
    </font>
    <font>
      <sz val="11"/>
      <color theme="1"/>
      <name val="Arial"/>
    </font>
    <font>
      <sz val="10"/>
      <name val="Arial"/>
    </font>
    <font>
      <sz val="11"/>
      <color theme="1"/>
      <name val="Aptos Narrow"/>
    </font>
    <font>
      <sz val="13"/>
      <color theme="1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2CEEF"/>
        <bgColor rgb="FFF2CEE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B5E6A2"/>
        <bgColor rgb="FFB5E6A2"/>
      </patternFill>
    </fill>
    <fill>
      <patternFill patternType="solid">
        <fgColor rgb="FFFCE5CD"/>
        <bgColor rgb="FFFCE5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5" fillId="0" borderId="0" xfId="0" applyFont="1"/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right"/>
    </xf>
    <xf numFmtId="0" fontId="3" fillId="5" borderId="1" xfId="0" applyFont="1" applyFill="1" applyBorder="1" applyAlignment="1">
      <alignment horizontal="right"/>
    </xf>
    <xf numFmtId="0" fontId="3" fillId="10" borderId="1" xfId="0" applyFont="1" applyFill="1" applyBorder="1"/>
    <xf numFmtId="0" fontId="3" fillId="10" borderId="1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right"/>
    </xf>
    <xf numFmtId="164" fontId="7" fillId="0" borderId="0" xfId="0" applyNumberFormat="1" applyFont="1"/>
    <xf numFmtId="0" fontId="3" fillId="2" borderId="1" xfId="0" applyFont="1" applyFill="1" applyBorder="1" applyAlignment="1">
      <alignment horizontal="right"/>
    </xf>
    <xf numFmtId="2" fontId="3" fillId="8" borderId="1" xfId="0" applyNumberFormat="1" applyFont="1" applyFill="1" applyBorder="1" applyAlignment="1">
      <alignment horizontal="center"/>
    </xf>
    <xf numFmtId="0" fontId="9" fillId="9" borderId="1" xfId="0" applyFont="1" applyFill="1" applyBorder="1"/>
    <xf numFmtId="0" fontId="10" fillId="0" borderId="1" xfId="0" applyFont="1" applyBorder="1" applyAlignment="1">
      <alignment horizontal="center"/>
    </xf>
    <xf numFmtId="0" fontId="7" fillId="0" borderId="1" xfId="0" applyFont="1" applyBorder="1"/>
    <xf numFmtId="0" fontId="9" fillId="0" borderId="1" xfId="0" applyFont="1" applyBorder="1"/>
    <xf numFmtId="165" fontId="9" fillId="0" borderId="1" xfId="0" applyNumberFormat="1" applyFont="1" applyBorder="1"/>
    <xf numFmtId="0" fontId="3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right"/>
    </xf>
    <xf numFmtId="0" fontId="9" fillId="9" borderId="5" xfId="0" applyFont="1" applyFill="1" applyBorder="1"/>
    <xf numFmtId="0" fontId="10" fillId="0" borderId="0" xfId="0" applyFont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 wrapText="1"/>
    </xf>
    <xf numFmtId="0" fontId="7" fillId="11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3" fontId="1" fillId="0" borderId="0" xfId="0" applyNumberFormat="1" applyFont="1"/>
    <xf numFmtId="2" fontId="3" fillId="10" borderId="1" xfId="0" applyNumberFormat="1" applyFont="1" applyFill="1" applyBorder="1" applyAlignment="1">
      <alignment horizontal="right"/>
    </xf>
    <xf numFmtId="0" fontId="1" fillId="0" borderId="0" xfId="0" applyFont="1" applyAlignment="1">
      <alignment wrapText="1"/>
    </xf>
    <xf numFmtId="0" fontId="3" fillId="0" borderId="0" xfId="0" applyFont="1"/>
    <xf numFmtId="0" fontId="0" fillId="0" borderId="0" xfId="0"/>
    <xf numFmtId="0" fontId="3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/>
    </xf>
    <xf numFmtId="0" fontId="8" fillId="0" borderId="3" xfId="0" applyFont="1" applyBorder="1"/>
    <xf numFmtId="0" fontId="8" fillId="0" borderId="4" xfId="0" applyFont="1" applyBorder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219075</xdr:colOff>
      <xdr:row>38</xdr:row>
      <xdr:rowOff>247650</xdr:rowOff>
    </xdr:from>
    <xdr:ext cx="6438900" cy="3838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209550</xdr:colOff>
      <xdr:row>38</xdr:row>
      <xdr:rowOff>152400</xdr:rowOff>
    </xdr:from>
    <xdr:ext cx="8610600" cy="302895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695325</xdr:colOff>
      <xdr:row>39</xdr:row>
      <xdr:rowOff>95250</xdr:rowOff>
    </xdr:from>
    <xdr:ext cx="7648575" cy="48577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5</xdr:row>
      <xdr:rowOff>76200</xdr:rowOff>
    </xdr:from>
    <xdr:ext cx="4876800" cy="487680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imall.vn/bien-dong-ct-200-5a-abb-ct-pro-xt-200-2csg225805r1101" TargetMode="External"/><Relationship Id="rId1" Type="http://schemas.openxmlformats.org/officeDocument/2006/relationships/hyperlink" Target="https://ple.vn/bientan/abb/acs355/acs355-03e-31a0-4-detai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P54"/>
  <sheetViews>
    <sheetView workbookViewId="0"/>
  </sheetViews>
  <sheetFormatPr defaultColWidth="12.5703125" defaultRowHeight="15.75" customHeight="1"/>
  <cols>
    <col min="1" max="1" width="4.85546875" customWidth="1"/>
    <col min="2" max="2" width="40.7109375" customWidth="1"/>
    <col min="4" max="4" width="22.42578125" customWidth="1"/>
    <col min="5" max="5" width="12.42578125" customWidth="1"/>
    <col min="6" max="6" width="7" customWidth="1"/>
    <col min="7" max="7" width="8.42578125" customWidth="1"/>
    <col min="8" max="8" width="11.7109375" customWidth="1"/>
    <col min="9" max="9" width="4.85546875" customWidth="1"/>
    <col min="10" max="10" width="30.5703125" customWidth="1"/>
    <col min="11" max="11" width="9" customWidth="1"/>
    <col min="12" max="12" width="82.5703125" customWidth="1"/>
    <col min="13" max="13" width="12.42578125" customWidth="1"/>
    <col min="14" max="14" width="7" customWidth="1"/>
  </cols>
  <sheetData>
    <row r="1" spans="1:14" ht="15.75" customHeight="1">
      <c r="A1" s="3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</row>
    <row r="2" spans="1:14" ht="15.75" customHeight="1">
      <c r="A2" s="3"/>
      <c r="B2" s="3"/>
      <c r="C2" s="3"/>
      <c r="D2" s="3"/>
      <c r="E2" s="3"/>
      <c r="F2" s="3"/>
      <c r="G2" s="4"/>
      <c r="H2" s="4"/>
      <c r="I2" s="4"/>
      <c r="J2" s="4" t="s">
        <v>0</v>
      </c>
      <c r="K2" s="4"/>
      <c r="L2" s="4"/>
      <c r="M2" s="4"/>
      <c r="N2" s="4"/>
    </row>
    <row r="3" spans="1:14" ht="15.75" customHeight="1">
      <c r="A3" s="3"/>
      <c r="B3" s="39" t="s">
        <v>1</v>
      </c>
      <c r="C3" s="40"/>
      <c r="D3" s="40"/>
      <c r="E3" s="3"/>
      <c r="F3" s="3"/>
      <c r="G3" s="4"/>
      <c r="H3" s="4"/>
      <c r="I3" s="4"/>
      <c r="J3" s="4"/>
      <c r="K3" s="4"/>
      <c r="L3" s="4"/>
      <c r="M3" s="4"/>
      <c r="N3" s="4"/>
    </row>
    <row r="4" spans="1:14" ht="15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4"/>
      <c r="H4" s="6"/>
      <c r="I4" s="5" t="s">
        <v>2</v>
      </c>
      <c r="J4" s="5" t="s">
        <v>3</v>
      </c>
      <c r="K4" s="5" t="s">
        <v>4</v>
      </c>
      <c r="L4" s="5" t="s">
        <v>5</v>
      </c>
      <c r="M4" s="5" t="s">
        <v>6</v>
      </c>
      <c r="N4" s="5" t="s">
        <v>7</v>
      </c>
    </row>
    <row r="5" spans="1:14" ht="15.75" customHeight="1">
      <c r="A5" s="7">
        <v>1</v>
      </c>
      <c r="B5" s="7" t="s">
        <v>8</v>
      </c>
      <c r="C5" s="7" t="s">
        <v>9</v>
      </c>
      <c r="D5" s="7"/>
      <c r="E5" s="7">
        <v>1</v>
      </c>
      <c r="F5" s="7"/>
      <c r="G5" s="8"/>
      <c r="H5" s="41" t="s">
        <v>10</v>
      </c>
      <c r="I5" s="9">
        <v>1</v>
      </c>
      <c r="J5" s="9" t="s">
        <v>11</v>
      </c>
      <c r="K5" s="9" t="s">
        <v>12</v>
      </c>
      <c r="L5" s="9"/>
      <c r="M5" s="9">
        <v>2</v>
      </c>
      <c r="N5" s="9" t="s">
        <v>13</v>
      </c>
    </row>
    <row r="6" spans="1:14" ht="15.75" customHeight="1">
      <c r="A6" s="7">
        <v>2</v>
      </c>
      <c r="B6" s="7" t="s">
        <v>14</v>
      </c>
      <c r="C6" s="7" t="s">
        <v>15</v>
      </c>
      <c r="D6" s="7"/>
      <c r="E6" s="7">
        <v>11111</v>
      </c>
      <c r="F6" s="7" t="s">
        <v>16</v>
      </c>
      <c r="G6" s="8"/>
      <c r="H6" s="40"/>
      <c r="I6" s="9">
        <v>2</v>
      </c>
      <c r="J6" s="9" t="s">
        <v>17</v>
      </c>
      <c r="K6" s="9" t="s">
        <v>18</v>
      </c>
      <c r="L6" s="9"/>
      <c r="M6" s="9">
        <v>0.11</v>
      </c>
      <c r="N6" s="9" t="s">
        <v>19</v>
      </c>
    </row>
    <row r="7" spans="1:14" ht="15.75" customHeight="1">
      <c r="A7" s="7">
        <v>3</v>
      </c>
      <c r="B7" s="7" t="s">
        <v>20</v>
      </c>
      <c r="C7" s="7" t="s">
        <v>21</v>
      </c>
      <c r="D7" s="7"/>
      <c r="E7" s="7">
        <v>211</v>
      </c>
      <c r="F7" s="7" t="s">
        <v>16</v>
      </c>
      <c r="G7" s="8"/>
      <c r="H7" s="40"/>
      <c r="I7" s="9">
        <v>3</v>
      </c>
      <c r="J7" s="9" t="s">
        <v>22</v>
      </c>
      <c r="K7" s="9" t="s">
        <v>23</v>
      </c>
      <c r="L7" s="9" t="s">
        <v>24</v>
      </c>
      <c r="M7" s="9">
        <v>5.5E-2</v>
      </c>
      <c r="N7" s="9" t="s">
        <v>25</v>
      </c>
    </row>
    <row r="8" spans="1:14" ht="15.75" customHeight="1">
      <c r="A8" s="7">
        <v>4</v>
      </c>
      <c r="B8" s="7" t="s">
        <v>26</v>
      </c>
      <c r="C8" s="7" t="s">
        <v>27</v>
      </c>
      <c r="D8" s="7"/>
      <c r="E8" s="7">
        <v>11</v>
      </c>
      <c r="F8" s="7" t="s">
        <v>21</v>
      </c>
      <c r="G8" s="8"/>
      <c r="H8" s="40"/>
      <c r="I8" s="9">
        <v>4</v>
      </c>
      <c r="J8" s="9" t="s">
        <v>28</v>
      </c>
      <c r="K8" s="9" t="s">
        <v>29</v>
      </c>
      <c r="L8" s="9" t="s">
        <v>30</v>
      </c>
      <c r="M8" s="9">
        <v>22836.5</v>
      </c>
      <c r="N8" s="9" t="s">
        <v>31</v>
      </c>
    </row>
    <row r="9" spans="1:14" ht="15.75" customHeight="1">
      <c r="A9" s="7">
        <v>5</v>
      </c>
      <c r="B9" s="7" t="s">
        <v>32</v>
      </c>
      <c r="C9" s="7" t="s">
        <v>33</v>
      </c>
      <c r="D9" s="7"/>
      <c r="E9" s="7">
        <v>0.11</v>
      </c>
      <c r="F9" s="7" t="s">
        <v>19</v>
      </c>
      <c r="G9" s="8"/>
      <c r="H9" s="40"/>
      <c r="I9" s="9">
        <v>5</v>
      </c>
      <c r="J9" s="9" t="s">
        <v>34</v>
      </c>
      <c r="K9" s="9" t="s">
        <v>35</v>
      </c>
      <c r="L9" s="9" t="s">
        <v>36</v>
      </c>
      <c r="M9" s="9">
        <v>5.5E-2</v>
      </c>
      <c r="N9" s="9" t="s">
        <v>19</v>
      </c>
    </row>
    <row r="10" spans="1:14" ht="15.75" customHeight="1">
      <c r="A10" s="7">
        <v>6</v>
      </c>
      <c r="B10" s="7" t="s">
        <v>37</v>
      </c>
      <c r="C10" s="7" t="s">
        <v>38</v>
      </c>
      <c r="D10" s="7"/>
      <c r="E10" s="7">
        <v>0.5</v>
      </c>
      <c r="F10" s="7" t="s">
        <v>25</v>
      </c>
      <c r="G10" s="8"/>
      <c r="H10" s="40"/>
      <c r="I10" s="9">
        <v>6</v>
      </c>
      <c r="J10" s="9" t="s">
        <v>39</v>
      </c>
      <c r="K10" s="9" t="s">
        <v>40</v>
      </c>
      <c r="L10" s="9" t="s">
        <v>41</v>
      </c>
      <c r="M10" s="9">
        <v>1256</v>
      </c>
      <c r="N10" s="9" t="s">
        <v>42</v>
      </c>
    </row>
    <row r="11" spans="1:14" ht="15.75" customHeight="1">
      <c r="A11" s="7">
        <v>7</v>
      </c>
      <c r="B11" s="7" t="s">
        <v>43</v>
      </c>
      <c r="C11" s="7" t="s">
        <v>44</v>
      </c>
      <c r="D11" s="7"/>
      <c r="E11" s="7">
        <v>2</v>
      </c>
      <c r="F11" s="7" t="s">
        <v>45</v>
      </c>
      <c r="G11" s="8"/>
      <c r="H11" s="40"/>
      <c r="I11" s="10">
        <v>7</v>
      </c>
      <c r="J11" s="10" t="s">
        <v>46</v>
      </c>
      <c r="K11" s="10" t="s">
        <v>47</v>
      </c>
      <c r="L11" s="10"/>
      <c r="M11" s="10">
        <v>80</v>
      </c>
      <c r="N11" s="10" t="s">
        <v>13</v>
      </c>
    </row>
    <row r="12" spans="1:14" ht="15.75" customHeight="1">
      <c r="A12" s="11">
        <v>8</v>
      </c>
      <c r="B12" s="11" t="s">
        <v>48</v>
      </c>
      <c r="C12" s="11" t="s">
        <v>49</v>
      </c>
      <c r="D12" s="11"/>
      <c r="E12" s="11">
        <v>0.25</v>
      </c>
      <c r="F12" s="11" t="s">
        <v>21</v>
      </c>
      <c r="G12" s="8"/>
      <c r="H12" s="40"/>
      <c r="I12" s="10">
        <v>8</v>
      </c>
      <c r="J12" s="10" t="s">
        <v>50</v>
      </c>
      <c r="K12" s="10" t="s">
        <v>51</v>
      </c>
      <c r="L12" s="10" t="s">
        <v>52</v>
      </c>
      <c r="M12" s="10">
        <v>22213.759999999998</v>
      </c>
      <c r="N12" s="10" t="s">
        <v>31</v>
      </c>
    </row>
    <row r="13" spans="1:14" ht="15.75" customHeight="1">
      <c r="A13" s="11">
        <v>9</v>
      </c>
      <c r="B13" s="11" t="s">
        <v>53</v>
      </c>
      <c r="C13" s="11" t="s">
        <v>54</v>
      </c>
      <c r="D13" s="11"/>
      <c r="E13" s="11">
        <v>100</v>
      </c>
      <c r="F13" s="11"/>
      <c r="G13" s="8"/>
      <c r="H13" s="40"/>
      <c r="I13" s="10">
        <v>9</v>
      </c>
      <c r="J13" s="10" t="s">
        <v>55</v>
      </c>
      <c r="K13" s="10" t="s">
        <v>56</v>
      </c>
      <c r="L13" s="10" t="s">
        <v>57</v>
      </c>
      <c r="M13" s="10">
        <v>2443.5100000000002</v>
      </c>
      <c r="N13" s="10" t="s">
        <v>42</v>
      </c>
    </row>
    <row r="14" spans="1:14" ht="15.75" customHeight="1">
      <c r="A14" s="11">
        <v>10</v>
      </c>
      <c r="B14" s="11" t="s">
        <v>58</v>
      </c>
      <c r="C14" s="11" t="s">
        <v>59</v>
      </c>
      <c r="D14" s="11"/>
      <c r="E14" s="11">
        <v>0.2</v>
      </c>
      <c r="F14" s="11"/>
      <c r="G14" s="8"/>
      <c r="H14" s="40"/>
      <c r="I14" s="5">
        <v>10</v>
      </c>
      <c r="J14" s="5" t="s">
        <v>60</v>
      </c>
      <c r="K14" s="5" t="s">
        <v>61</v>
      </c>
      <c r="L14" s="5"/>
      <c r="M14" s="5">
        <v>10</v>
      </c>
      <c r="N14" s="5" t="s">
        <v>13</v>
      </c>
    </row>
    <row r="15" spans="1:14" ht="15.75" customHeight="1">
      <c r="A15" s="11">
        <v>11</v>
      </c>
      <c r="B15" s="11" t="s">
        <v>62</v>
      </c>
      <c r="C15" s="11" t="s">
        <v>63</v>
      </c>
      <c r="D15" s="11"/>
      <c r="E15" s="11">
        <v>0.96</v>
      </c>
      <c r="F15" s="11"/>
      <c r="G15" s="8"/>
      <c r="H15" s="40"/>
      <c r="I15" s="5">
        <v>11</v>
      </c>
      <c r="J15" s="5" t="s">
        <v>64</v>
      </c>
      <c r="K15" s="5" t="s">
        <v>65</v>
      </c>
      <c r="L15" s="5" t="s">
        <v>66</v>
      </c>
      <c r="M15" s="5">
        <v>-1.0999999999999999E-2</v>
      </c>
      <c r="N15" s="5" t="s">
        <v>25</v>
      </c>
    </row>
    <row r="16" spans="1:14" ht="15.75" customHeight="1">
      <c r="A16" s="11">
        <v>12</v>
      </c>
      <c r="B16" s="11" t="s">
        <v>67</v>
      </c>
      <c r="C16" s="11" t="s">
        <v>68</v>
      </c>
      <c r="D16" s="11"/>
      <c r="E16" s="11">
        <v>1.2</v>
      </c>
      <c r="F16" s="11"/>
      <c r="G16" s="8"/>
      <c r="H16" s="40"/>
      <c r="I16" s="5">
        <v>12</v>
      </c>
      <c r="J16" s="5" t="s">
        <v>69</v>
      </c>
      <c r="K16" s="5" t="s">
        <v>70</v>
      </c>
      <c r="L16" s="5" t="s">
        <v>71</v>
      </c>
      <c r="M16" s="5">
        <v>22089</v>
      </c>
      <c r="N16" s="5" t="s">
        <v>31</v>
      </c>
    </row>
    <row r="17" spans="1:14" ht="15.75" customHeight="1">
      <c r="A17" s="11">
        <v>13</v>
      </c>
      <c r="B17" s="11" t="s">
        <v>72</v>
      </c>
      <c r="C17" s="11" t="s">
        <v>73</v>
      </c>
      <c r="D17" s="11"/>
      <c r="E17" s="11">
        <v>9.81</v>
      </c>
      <c r="F17" s="11" t="s">
        <v>25</v>
      </c>
      <c r="G17" s="8"/>
      <c r="H17" s="40"/>
      <c r="I17" s="5">
        <v>13</v>
      </c>
      <c r="J17" s="5" t="s">
        <v>74</v>
      </c>
      <c r="K17" s="5" t="s">
        <v>75</v>
      </c>
      <c r="L17" s="5" t="s">
        <v>76</v>
      </c>
      <c r="M17" s="5">
        <v>5.5E-2</v>
      </c>
      <c r="N17" s="5" t="s">
        <v>19</v>
      </c>
    </row>
    <row r="18" spans="1:14" ht="15.75" customHeight="1">
      <c r="A18" s="12">
        <v>14</v>
      </c>
      <c r="B18" s="12" t="s">
        <v>77</v>
      </c>
      <c r="C18" s="12" t="s">
        <v>78</v>
      </c>
      <c r="D18" s="12" t="s">
        <v>79</v>
      </c>
      <c r="E18" s="12">
        <v>27874.763999999999</v>
      </c>
      <c r="F18" s="12" t="s">
        <v>31</v>
      </c>
      <c r="G18" s="8"/>
      <c r="H18" s="40"/>
      <c r="I18" s="5">
        <v>14</v>
      </c>
      <c r="J18" s="5" t="s">
        <v>80</v>
      </c>
      <c r="K18" s="5" t="s">
        <v>81</v>
      </c>
      <c r="L18" s="5" t="s">
        <v>82</v>
      </c>
      <c r="M18" s="5">
        <v>1214.9000000000001</v>
      </c>
      <c r="N18" s="5" t="s">
        <v>42</v>
      </c>
    </row>
    <row r="19" spans="1:14" ht="15.75" customHeight="1">
      <c r="A19" s="12">
        <v>15</v>
      </c>
      <c r="B19" s="12" t="s">
        <v>83</v>
      </c>
      <c r="C19" s="12" t="s">
        <v>84</v>
      </c>
      <c r="D19" s="12" t="s">
        <v>85</v>
      </c>
      <c r="E19" s="12">
        <v>3484.3454999999999</v>
      </c>
      <c r="F19" s="12" t="s">
        <v>86</v>
      </c>
      <c r="G19" s="4"/>
      <c r="H19" s="13"/>
      <c r="I19" s="14">
        <v>15</v>
      </c>
      <c r="J19" s="14" t="s">
        <v>87</v>
      </c>
      <c r="K19" s="14" t="s">
        <v>88</v>
      </c>
      <c r="L19" s="14"/>
      <c r="M19" s="15">
        <v>30</v>
      </c>
      <c r="N19" s="14" t="s">
        <v>13</v>
      </c>
    </row>
    <row r="20" spans="1:14" ht="15.75" customHeight="1">
      <c r="A20" s="12">
        <v>16</v>
      </c>
      <c r="B20" s="12" t="s">
        <v>89</v>
      </c>
      <c r="C20" s="12" t="s">
        <v>90</v>
      </c>
      <c r="D20" s="12" t="s">
        <v>91</v>
      </c>
      <c r="E20" s="12">
        <v>43.55</v>
      </c>
      <c r="F20" s="12" t="s">
        <v>86</v>
      </c>
      <c r="G20" s="4"/>
      <c r="H20" s="42" t="s">
        <v>92</v>
      </c>
      <c r="I20" s="9">
        <v>16</v>
      </c>
      <c r="J20" s="9" t="s">
        <v>11</v>
      </c>
      <c r="K20" s="9" t="s">
        <v>93</v>
      </c>
      <c r="L20" s="9"/>
      <c r="M20" s="16">
        <v>2</v>
      </c>
      <c r="N20" s="9" t="s">
        <v>13</v>
      </c>
    </row>
    <row r="21" spans="1:14" ht="15.75" customHeight="1">
      <c r="A21" s="12">
        <v>17</v>
      </c>
      <c r="B21" s="12" t="s">
        <v>94</v>
      </c>
      <c r="C21" s="12" t="s">
        <v>95</v>
      </c>
      <c r="D21" s="12" t="s">
        <v>96</v>
      </c>
      <c r="E21" s="12">
        <v>0.88</v>
      </c>
      <c r="F21" s="12" t="s">
        <v>97</v>
      </c>
      <c r="G21" s="4"/>
      <c r="H21" s="40"/>
      <c r="I21" s="9">
        <v>17</v>
      </c>
      <c r="J21" s="9" t="s">
        <v>17</v>
      </c>
      <c r="K21" s="9" t="s">
        <v>18</v>
      </c>
      <c r="L21" s="9"/>
      <c r="M21" s="16">
        <v>0.11</v>
      </c>
      <c r="N21" s="9" t="s">
        <v>19</v>
      </c>
    </row>
    <row r="22" spans="1:14" ht="15.75" customHeight="1">
      <c r="A22" s="12">
        <v>18</v>
      </c>
      <c r="B22" s="12" t="s">
        <v>98</v>
      </c>
      <c r="C22" s="12" t="s">
        <v>99</v>
      </c>
      <c r="D22" s="12" t="s">
        <v>100</v>
      </c>
      <c r="E22" s="12">
        <v>8.4</v>
      </c>
      <c r="F22" s="12" t="s">
        <v>101</v>
      </c>
      <c r="G22" s="4"/>
      <c r="H22" s="40"/>
      <c r="I22" s="9">
        <v>18</v>
      </c>
      <c r="J22" s="9" t="s">
        <v>22</v>
      </c>
      <c r="K22" s="9" t="s">
        <v>102</v>
      </c>
      <c r="L22" s="9" t="s">
        <v>103</v>
      </c>
      <c r="M22" s="16">
        <v>5.5E-2</v>
      </c>
      <c r="N22" s="9" t="s">
        <v>25</v>
      </c>
    </row>
    <row r="23" spans="1:14" ht="15.75" customHeight="1">
      <c r="A23" s="12">
        <v>19</v>
      </c>
      <c r="B23" s="12" t="s">
        <v>104</v>
      </c>
      <c r="C23" s="12" t="s">
        <v>105</v>
      </c>
      <c r="D23" s="12" t="s">
        <v>106</v>
      </c>
      <c r="E23" s="12">
        <v>840</v>
      </c>
      <c r="F23" s="12" t="s">
        <v>101</v>
      </c>
      <c r="G23" s="4"/>
      <c r="H23" s="40"/>
      <c r="I23" s="9">
        <v>19</v>
      </c>
      <c r="J23" s="9" t="s">
        <v>28</v>
      </c>
      <c r="K23" s="9" t="s">
        <v>107</v>
      </c>
      <c r="L23" s="9" t="s">
        <v>108</v>
      </c>
      <c r="M23" s="16">
        <v>425.6</v>
      </c>
      <c r="N23" s="9" t="s">
        <v>31</v>
      </c>
    </row>
    <row r="24" spans="1:14" ht="15.75" customHeight="1">
      <c r="A24" s="12">
        <v>20</v>
      </c>
      <c r="B24" s="12" t="s">
        <v>109</v>
      </c>
      <c r="C24" s="12" t="s">
        <v>110</v>
      </c>
      <c r="D24" s="12" t="s">
        <v>111</v>
      </c>
      <c r="E24" s="12">
        <v>3990.48</v>
      </c>
      <c r="F24" s="12" t="s">
        <v>42</v>
      </c>
      <c r="G24" s="4"/>
      <c r="H24" s="40"/>
      <c r="I24" s="9">
        <v>20</v>
      </c>
      <c r="J24" s="9" t="s">
        <v>34</v>
      </c>
      <c r="K24" s="9" t="s">
        <v>112</v>
      </c>
      <c r="L24" s="9" t="s">
        <v>113</v>
      </c>
      <c r="M24" s="16">
        <v>5.5E-2</v>
      </c>
      <c r="N24" s="9" t="s">
        <v>19</v>
      </c>
    </row>
    <row r="25" spans="1:14" ht="15.75" customHeight="1">
      <c r="A25" s="3"/>
      <c r="B25" s="3"/>
      <c r="C25" s="3"/>
      <c r="D25" s="3"/>
      <c r="E25" s="3"/>
      <c r="F25" s="3"/>
      <c r="G25" s="4"/>
      <c r="H25" s="40"/>
      <c r="I25" s="9">
        <v>21</v>
      </c>
      <c r="J25" s="9" t="s">
        <v>39</v>
      </c>
      <c r="K25" s="9" t="s">
        <v>115</v>
      </c>
      <c r="L25" s="9" t="s">
        <v>116</v>
      </c>
      <c r="M25" s="16">
        <v>23.41</v>
      </c>
      <c r="N25" s="9" t="s">
        <v>42</v>
      </c>
    </row>
    <row r="26" spans="1:14" ht="15.75" customHeight="1">
      <c r="A26" s="3"/>
      <c r="B26" s="17" t="s">
        <v>118</v>
      </c>
      <c r="C26" s="17" t="s">
        <v>120</v>
      </c>
      <c r="D26" s="18">
        <v>3990.48</v>
      </c>
      <c r="E26" s="17" t="s">
        <v>42</v>
      </c>
      <c r="F26" s="3"/>
      <c r="G26" s="4"/>
      <c r="H26" s="40"/>
      <c r="I26" s="10">
        <v>22</v>
      </c>
      <c r="J26" s="10" t="s">
        <v>46</v>
      </c>
      <c r="K26" s="10" t="s">
        <v>123</v>
      </c>
      <c r="L26" s="10"/>
      <c r="M26" s="19">
        <v>80</v>
      </c>
      <c r="N26" s="10" t="s">
        <v>13</v>
      </c>
    </row>
    <row r="27" spans="1:14" ht="15.75" customHeight="1">
      <c r="A27" s="3"/>
      <c r="B27" s="17" t="s">
        <v>127</v>
      </c>
      <c r="C27" s="17" t="s">
        <v>129</v>
      </c>
      <c r="D27" s="18">
        <v>840</v>
      </c>
      <c r="E27" s="17" t="s">
        <v>101</v>
      </c>
      <c r="F27" s="3"/>
      <c r="G27" s="4"/>
      <c r="H27" s="40"/>
      <c r="I27" s="10">
        <v>23</v>
      </c>
      <c r="J27" s="10" t="s">
        <v>50</v>
      </c>
      <c r="K27" s="10" t="s">
        <v>51</v>
      </c>
      <c r="L27" s="10" t="s">
        <v>132</v>
      </c>
      <c r="M27" s="19">
        <v>413.98</v>
      </c>
      <c r="N27" s="10" t="s">
        <v>31</v>
      </c>
    </row>
    <row r="28" spans="1:14" ht="15.75" customHeight="1">
      <c r="A28" s="3"/>
      <c r="B28" s="17"/>
      <c r="C28" s="17" t="s">
        <v>136</v>
      </c>
      <c r="D28" s="18">
        <v>43.55</v>
      </c>
      <c r="E28" s="17" t="s">
        <v>86</v>
      </c>
      <c r="F28" s="3"/>
      <c r="G28" s="4"/>
      <c r="H28" s="40"/>
      <c r="I28" s="10">
        <v>24</v>
      </c>
      <c r="J28" s="10" t="s">
        <v>55</v>
      </c>
      <c r="K28" s="10" t="s">
        <v>139</v>
      </c>
      <c r="L28" s="10" t="s">
        <v>140</v>
      </c>
      <c r="M28" s="19">
        <v>45.54</v>
      </c>
      <c r="N28" s="10" t="s">
        <v>42</v>
      </c>
    </row>
    <row r="29" spans="1:14" ht="15.75" customHeight="1">
      <c r="A29" s="4"/>
      <c r="B29" s="4"/>
      <c r="C29" s="4"/>
      <c r="D29" s="4"/>
      <c r="E29" s="4"/>
      <c r="F29" s="4"/>
      <c r="G29" s="4"/>
      <c r="H29" s="40"/>
      <c r="I29" s="5">
        <v>25</v>
      </c>
      <c r="J29" s="5" t="s">
        <v>60</v>
      </c>
      <c r="K29" s="5" t="s">
        <v>144</v>
      </c>
      <c r="L29" s="5"/>
      <c r="M29" s="21">
        <v>5</v>
      </c>
      <c r="N29" s="5" t="s">
        <v>13</v>
      </c>
    </row>
    <row r="30" spans="1:14" ht="15.75" customHeight="1">
      <c r="A30" s="4"/>
      <c r="B30" s="4"/>
      <c r="C30" s="4"/>
      <c r="D30" s="4"/>
      <c r="E30" s="4"/>
      <c r="F30" s="4"/>
      <c r="G30" s="4"/>
      <c r="H30" s="40"/>
      <c r="I30" s="5">
        <v>26</v>
      </c>
      <c r="J30" s="5" t="s">
        <v>64</v>
      </c>
      <c r="K30" s="5" t="s">
        <v>145</v>
      </c>
      <c r="L30" s="5" t="s">
        <v>146</v>
      </c>
      <c r="M30" s="21">
        <v>-2.1999999999999999E-2</v>
      </c>
      <c r="N30" s="5" t="s">
        <v>25</v>
      </c>
    </row>
    <row r="31" spans="1:14" ht="15.75" customHeight="1">
      <c r="A31" s="43" t="s">
        <v>147</v>
      </c>
      <c r="B31" s="44"/>
      <c r="C31" s="44"/>
      <c r="D31" s="45"/>
      <c r="E31" s="23"/>
      <c r="F31" s="4"/>
      <c r="G31" s="4"/>
      <c r="H31" s="40"/>
      <c r="I31" s="5">
        <v>27</v>
      </c>
      <c r="J31" s="5" t="s">
        <v>69</v>
      </c>
      <c r="K31" s="5" t="s">
        <v>70</v>
      </c>
      <c r="L31" s="5" t="s">
        <v>151</v>
      </c>
      <c r="M31" s="21">
        <v>409.34</v>
      </c>
      <c r="N31" s="5" t="s">
        <v>31</v>
      </c>
    </row>
    <row r="32" spans="1:14" ht="15.75" customHeight="1">
      <c r="A32" s="24" t="s">
        <v>2</v>
      </c>
      <c r="B32" s="24" t="s">
        <v>3</v>
      </c>
      <c r="C32" s="24" t="s">
        <v>6</v>
      </c>
      <c r="D32" s="24" t="s">
        <v>7</v>
      </c>
      <c r="E32" s="25" t="s">
        <v>155</v>
      </c>
      <c r="F32" s="4"/>
      <c r="G32" s="4"/>
      <c r="H32" s="40"/>
      <c r="I32" s="5">
        <v>28</v>
      </c>
      <c r="J32" s="5" t="s">
        <v>74</v>
      </c>
      <c r="K32" s="5" t="s">
        <v>156</v>
      </c>
      <c r="L32" s="5" t="s">
        <v>157</v>
      </c>
      <c r="M32" s="21">
        <v>5.5E-2</v>
      </c>
      <c r="N32" s="5" t="s">
        <v>19</v>
      </c>
    </row>
    <row r="33" spans="1:14" ht="15.75" customHeight="1">
      <c r="A33" s="26"/>
      <c r="B33" s="26"/>
      <c r="C33" s="27"/>
      <c r="D33" s="26"/>
      <c r="E33" s="26"/>
      <c r="F33" s="4"/>
      <c r="G33" s="4"/>
      <c r="H33" s="40"/>
      <c r="I33" s="5">
        <v>29</v>
      </c>
      <c r="J33" s="5" t="s">
        <v>80</v>
      </c>
      <c r="K33" s="5" t="s">
        <v>161</v>
      </c>
      <c r="L33" s="5" t="s">
        <v>162</v>
      </c>
      <c r="M33" s="21">
        <v>22.51</v>
      </c>
      <c r="N33" s="5" t="s">
        <v>42</v>
      </c>
    </row>
    <row r="34" spans="1:14" ht="15.75" customHeight="1">
      <c r="A34" s="24">
        <v>1</v>
      </c>
      <c r="B34" s="24" t="s">
        <v>119</v>
      </c>
      <c r="C34" s="24">
        <v>5.5</v>
      </c>
      <c r="D34" s="24" t="s">
        <v>122</v>
      </c>
      <c r="E34" s="24" t="s">
        <v>163</v>
      </c>
      <c r="F34" s="4"/>
      <c r="G34" s="4"/>
      <c r="H34" s="13"/>
      <c r="I34" s="28">
        <v>30</v>
      </c>
      <c r="J34" s="28" t="s">
        <v>164</v>
      </c>
      <c r="K34" s="28" t="s">
        <v>165</v>
      </c>
      <c r="L34" s="28" t="s">
        <v>166</v>
      </c>
      <c r="M34" s="29">
        <v>1540.12</v>
      </c>
      <c r="N34" s="28" t="s">
        <v>42</v>
      </c>
    </row>
    <row r="35" spans="1:14" ht="15.75" customHeight="1">
      <c r="A35" s="24">
        <v>2</v>
      </c>
      <c r="B35" s="24" t="s">
        <v>168</v>
      </c>
      <c r="C35" s="24">
        <v>400</v>
      </c>
      <c r="D35" s="24" t="s">
        <v>170</v>
      </c>
      <c r="E35" s="24" t="s">
        <v>171</v>
      </c>
      <c r="H35" s="31"/>
      <c r="I35" s="32">
        <v>31</v>
      </c>
      <c r="J35" s="32" t="s">
        <v>172</v>
      </c>
      <c r="K35" s="32" t="s">
        <v>173</v>
      </c>
      <c r="L35" s="32" t="s">
        <v>174</v>
      </c>
      <c r="M35" s="32">
        <f>2*0.11*100/0.25</f>
        <v>88</v>
      </c>
      <c r="N35" s="32" t="s">
        <v>97</v>
      </c>
    </row>
    <row r="36" spans="1:14" ht="15.75" customHeight="1">
      <c r="A36" s="24">
        <v>3</v>
      </c>
      <c r="B36" s="24" t="s">
        <v>148</v>
      </c>
      <c r="C36" s="24">
        <v>973</v>
      </c>
      <c r="D36" s="24" t="s">
        <v>177</v>
      </c>
      <c r="E36" s="24" t="s">
        <v>178</v>
      </c>
      <c r="H36" s="31"/>
      <c r="I36" s="32">
        <v>31</v>
      </c>
      <c r="J36" s="33" t="s">
        <v>179</v>
      </c>
      <c r="K36" s="32" t="s">
        <v>181</v>
      </c>
      <c r="L36" s="32" t="s">
        <v>182</v>
      </c>
      <c r="M36" s="32">
        <f>M34/M35</f>
        <v>17.501363636363635</v>
      </c>
      <c r="N36" s="32" t="s">
        <v>86</v>
      </c>
    </row>
    <row r="37" spans="1:14" ht="16.5">
      <c r="A37" s="24">
        <v>4</v>
      </c>
      <c r="B37" s="24" t="s">
        <v>183</v>
      </c>
      <c r="C37" s="24">
        <v>89.5</v>
      </c>
      <c r="D37" s="24" t="s">
        <v>184</v>
      </c>
      <c r="E37" s="24" t="s">
        <v>63</v>
      </c>
      <c r="H37" s="31"/>
      <c r="I37" s="32">
        <v>32</v>
      </c>
      <c r="J37" s="32" t="s">
        <v>185</v>
      </c>
      <c r="K37" s="32" t="s">
        <v>186</v>
      </c>
      <c r="L37" s="33" t="s">
        <v>187</v>
      </c>
      <c r="M37" s="32">
        <f>(E18*E12)/(2*100*0.96)</f>
        <v>36.295265624999999</v>
      </c>
      <c r="N37" s="32" t="s">
        <v>86</v>
      </c>
    </row>
    <row r="38" spans="1:14" ht="16.5">
      <c r="A38" s="24">
        <v>5</v>
      </c>
      <c r="B38" s="24" t="s">
        <v>190</v>
      </c>
      <c r="C38" s="24">
        <v>90.2</v>
      </c>
      <c r="D38" s="24" t="s">
        <v>184</v>
      </c>
      <c r="E38" s="26"/>
      <c r="H38" s="31"/>
      <c r="I38" s="32">
        <v>33</v>
      </c>
      <c r="J38" s="34" t="s">
        <v>191</v>
      </c>
      <c r="K38" s="34" t="s">
        <v>192</v>
      </c>
      <c r="L38" s="34" t="s">
        <v>193</v>
      </c>
      <c r="M38" s="35">
        <f>M34*1.2/0.96</f>
        <v>1925.1499999999999</v>
      </c>
      <c r="N38" s="34" t="s">
        <v>42</v>
      </c>
    </row>
    <row r="39" spans="1:14" ht="16.5">
      <c r="A39" s="24"/>
      <c r="B39" s="24" t="s">
        <v>195</v>
      </c>
      <c r="C39" s="24">
        <v>89.6</v>
      </c>
      <c r="D39" s="24" t="s">
        <v>184</v>
      </c>
      <c r="E39" s="24"/>
    </row>
    <row r="40" spans="1:14" ht="16.5">
      <c r="A40" s="24">
        <v>6</v>
      </c>
      <c r="B40" s="24" t="s">
        <v>197</v>
      </c>
      <c r="C40" s="24">
        <v>0.74</v>
      </c>
      <c r="D40" s="26"/>
      <c r="E40" s="24" t="s">
        <v>198</v>
      </c>
    </row>
    <row r="41" spans="1:14" ht="16.5">
      <c r="A41" s="24">
        <v>7</v>
      </c>
      <c r="B41" s="24" t="s">
        <v>199</v>
      </c>
      <c r="C41" s="24">
        <v>12</v>
      </c>
      <c r="D41" s="24" t="s">
        <v>180</v>
      </c>
      <c r="E41" s="24" t="s">
        <v>200</v>
      </c>
    </row>
    <row r="42" spans="1:14" ht="16.5">
      <c r="A42" s="24">
        <v>8</v>
      </c>
      <c r="B42" s="24" t="s">
        <v>201</v>
      </c>
      <c r="C42" s="24">
        <f>12*5.8</f>
        <v>69.599999999999994</v>
      </c>
      <c r="D42" s="24" t="s">
        <v>180</v>
      </c>
      <c r="E42" s="24" t="s">
        <v>202</v>
      </c>
    </row>
    <row r="43" spans="1:14" ht="16.5">
      <c r="A43" s="24">
        <v>9</v>
      </c>
      <c r="B43" s="24" t="s">
        <v>205</v>
      </c>
      <c r="C43" s="24">
        <v>53.9</v>
      </c>
      <c r="D43" s="24" t="s">
        <v>86</v>
      </c>
      <c r="E43" s="24" t="s">
        <v>206</v>
      </c>
    </row>
    <row r="44" spans="1:14" ht="16.5">
      <c r="A44" s="24">
        <v>10</v>
      </c>
      <c r="B44" s="24" t="s">
        <v>207</v>
      </c>
      <c r="C44" s="24">
        <f>53.9*2</f>
        <v>107.8</v>
      </c>
      <c r="D44" s="24" t="s">
        <v>86</v>
      </c>
      <c r="E44" s="24" t="s">
        <v>208</v>
      </c>
    </row>
    <row r="45" spans="1:14" ht="16.5">
      <c r="A45" s="24">
        <v>11</v>
      </c>
      <c r="B45" s="24" t="s">
        <v>209</v>
      </c>
      <c r="C45" s="24">
        <f>53.9*2.9</f>
        <v>156.31</v>
      </c>
      <c r="D45" s="24" t="s">
        <v>86</v>
      </c>
      <c r="E45" s="24" t="s">
        <v>212</v>
      </c>
    </row>
    <row r="46" spans="1:14" ht="16.5">
      <c r="A46" s="24">
        <v>12</v>
      </c>
      <c r="B46" s="24" t="s">
        <v>133</v>
      </c>
      <c r="C46" s="24">
        <v>50</v>
      </c>
      <c r="D46" s="24" t="s">
        <v>135</v>
      </c>
      <c r="E46" s="26"/>
    </row>
    <row r="47" spans="1:14" ht="16.5">
      <c r="A47" s="24">
        <v>13</v>
      </c>
      <c r="B47" s="24" t="s">
        <v>213</v>
      </c>
      <c r="C47" s="24">
        <v>3</v>
      </c>
      <c r="D47" s="24" t="s">
        <v>214</v>
      </c>
      <c r="E47" s="26"/>
    </row>
    <row r="48" spans="1:14" ht="16.5">
      <c r="A48" s="24">
        <v>14</v>
      </c>
      <c r="B48" s="24" t="s">
        <v>215</v>
      </c>
      <c r="C48" s="24">
        <v>3.9E-2</v>
      </c>
      <c r="D48" s="24" t="s">
        <v>216</v>
      </c>
      <c r="E48" s="24" t="s">
        <v>217</v>
      </c>
    </row>
    <row r="49" spans="1:16" ht="16.5">
      <c r="A49" s="24">
        <v>15</v>
      </c>
      <c r="B49" s="24" t="s">
        <v>218</v>
      </c>
      <c r="C49" s="24">
        <v>63</v>
      </c>
      <c r="D49" s="24" t="s">
        <v>219</v>
      </c>
      <c r="E49" s="26"/>
    </row>
    <row r="54" spans="1:16" ht="12.75">
      <c r="M54" s="1" t="s">
        <v>220</v>
      </c>
      <c r="N54" s="36">
        <v>114</v>
      </c>
      <c r="O54" s="1">
        <v>125</v>
      </c>
      <c r="P54" s="1">
        <v>59</v>
      </c>
    </row>
  </sheetData>
  <mergeCells count="4">
    <mergeCell ref="B3:D3"/>
    <mergeCell ref="H5:H18"/>
    <mergeCell ref="H20:H33"/>
    <mergeCell ref="A31:D31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P54"/>
  <sheetViews>
    <sheetView workbookViewId="0"/>
  </sheetViews>
  <sheetFormatPr defaultColWidth="12.5703125" defaultRowHeight="15.75" customHeight="1"/>
  <cols>
    <col min="1" max="1" width="4.85546875" customWidth="1"/>
    <col min="2" max="2" width="47.42578125" customWidth="1"/>
    <col min="4" max="4" width="22.42578125" customWidth="1"/>
    <col min="5" max="5" width="13.85546875" customWidth="1"/>
    <col min="6" max="6" width="7" customWidth="1"/>
    <col min="7" max="7" width="8.42578125" customWidth="1"/>
    <col min="8" max="8" width="11.7109375" customWidth="1"/>
    <col min="9" max="9" width="4.85546875" customWidth="1"/>
    <col min="10" max="10" width="30.5703125" customWidth="1"/>
    <col min="11" max="11" width="9" customWidth="1"/>
    <col min="12" max="12" width="82.5703125" customWidth="1"/>
    <col min="13" max="13" width="12.42578125" customWidth="1"/>
    <col min="14" max="14" width="7" customWidth="1"/>
  </cols>
  <sheetData>
    <row r="1" spans="1:14" ht="15.75" customHeight="1">
      <c r="A1" s="3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</row>
    <row r="2" spans="1:14" ht="15.75" customHeight="1">
      <c r="A2" s="3"/>
      <c r="B2" s="3"/>
      <c r="C2" s="3"/>
      <c r="D2" s="3"/>
      <c r="E2" s="3"/>
      <c r="F2" s="3"/>
      <c r="G2" s="4"/>
      <c r="H2" s="4"/>
      <c r="I2" s="4"/>
      <c r="J2" s="4" t="s">
        <v>0</v>
      </c>
      <c r="K2" s="4"/>
      <c r="L2" s="4"/>
      <c r="M2" s="4"/>
      <c r="N2" s="4"/>
    </row>
    <row r="3" spans="1:14" ht="15.75" customHeight="1">
      <c r="A3" s="3"/>
      <c r="B3" s="39" t="s">
        <v>1</v>
      </c>
      <c r="C3" s="40"/>
      <c r="D3" s="40"/>
      <c r="E3" s="3"/>
      <c r="F3" s="3"/>
      <c r="G3" s="4"/>
      <c r="H3" s="4"/>
      <c r="I3" s="4"/>
      <c r="J3" s="4"/>
      <c r="K3" s="4"/>
      <c r="L3" s="4"/>
      <c r="M3" s="4"/>
      <c r="N3" s="4"/>
    </row>
    <row r="4" spans="1:14" ht="15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4"/>
      <c r="H4" s="6"/>
      <c r="I4" s="5" t="s">
        <v>2</v>
      </c>
      <c r="J4" s="5" t="s">
        <v>3</v>
      </c>
      <c r="K4" s="5" t="s">
        <v>4</v>
      </c>
      <c r="L4" s="5" t="s">
        <v>5</v>
      </c>
      <c r="M4" s="5" t="s">
        <v>6</v>
      </c>
      <c r="N4" s="5" t="s">
        <v>7</v>
      </c>
    </row>
    <row r="5" spans="1:14" ht="15.75" customHeight="1">
      <c r="A5" s="7">
        <v>1</v>
      </c>
      <c r="B5" s="7" t="s">
        <v>8</v>
      </c>
      <c r="C5" s="7" t="s">
        <v>9</v>
      </c>
      <c r="D5" s="7"/>
      <c r="E5" s="7">
        <v>1</v>
      </c>
      <c r="F5" s="7"/>
      <c r="G5" s="8"/>
      <c r="H5" s="41" t="s">
        <v>10</v>
      </c>
      <c r="I5" s="9">
        <v>1</v>
      </c>
      <c r="J5" s="9" t="s">
        <v>11</v>
      </c>
      <c r="K5" s="9" t="s">
        <v>12</v>
      </c>
      <c r="L5" s="9"/>
      <c r="M5" s="9">
        <v>2</v>
      </c>
      <c r="N5" s="9" t="s">
        <v>13</v>
      </c>
    </row>
    <row r="6" spans="1:14" ht="15.75" customHeight="1">
      <c r="A6" s="7">
        <v>2</v>
      </c>
      <c r="B6" s="7" t="s">
        <v>14</v>
      </c>
      <c r="C6" s="7" t="s">
        <v>15</v>
      </c>
      <c r="D6" s="7"/>
      <c r="E6" s="7">
        <v>16666</v>
      </c>
      <c r="F6" s="7" t="s">
        <v>16</v>
      </c>
      <c r="G6" s="8"/>
      <c r="H6" s="40"/>
      <c r="I6" s="9">
        <v>2</v>
      </c>
      <c r="J6" s="9" t="s">
        <v>17</v>
      </c>
      <c r="K6" s="9" t="s">
        <v>18</v>
      </c>
      <c r="L6" s="9"/>
      <c r="M6" s="9">
        <v>0.16</v>
      </c>
      <c r="N6" s="9" t="s">
        <v>19</v>
      </c>
    </row>
    <row r="7" spans="1:14" ht="15.75" customHeight="1">
      <c r="A7" s="7">
        <v>3</v>
      </c>
      <c r="B7" s="7" t="s">
        <v>20</v>
      </c>
      <c r="C7" s="7" t="s">
        <v>21</v>
      </c>
      <c r="D7" s="7"/>
      <c r="E7" s="7">
        <v>266</v>
      </c>
      <c r="F7" s="7" t="s">
        <v>16</v>
      </c>
      <c r="G7" s="8"/>
      <c r="H7" s="40"/>
      <c r="I7" s="9">
        <v>3</v>
      </c>
      <c r="J7" s="9" t="s">
        <v>22</v>
      </c>
      <c r="K7" s="9" t="s">
        <v>23</v>
      </c>
      <c r="L7" s="9" t="s">
        <v>24</v>
      </c>
      <c r="M7" s="9">
        <f>M6/M5</f>
        <v>0.08</v>
      </c>
      <c r="N7" s="9" t="s">
        <v>25</v>
      </c>
    </row>
    <row r="8" spans="1:14" ht="15.75" customHeight="1">
      <c r="A8" s="7">
        <v>4</v>
      </c>
      <c r="B8" s="7" t="s">
        <v>26</v>
      </c>
      <c r="C8" s="7" t="s">
        <v>27</v>
      </c>
      <c r="D8" s="7"/>
      <c r="E8" s="7">
        <v>16</v>
      </c>
      <c r="F8" s="7" t="s">
        <v>21</v>
      </c>
      <c r="G8" s="8"/>
      <c r="H8" s="40"/>
      <c r="I8" s="9">
        <v>4</v>
      </c>
      <c r="J8" s="9" t="s">
        <v>28</v>
      </c>
      <c r="K8" s="9" t="s">
        <v>29</v>
      </c>
      <c r="L8" s="9" t="s">
        <v>30</v>
      </c>
      <c r="M8" s="9">
        <f>(E6+E7)*(E14*E17+M7)</f>
        <v>34575.144000000008</v>
      </c>
      <c r="N8" s="9" t="s">
        <v>31</v>
      </c>
    </row>
    <row r="9" spans="1:14" ht="15.75" customHeight="1">
      <c r="A9" s="7">
        <v>5</v>
      </c>
      <c r="B9" s="7" t="s">
        <v>32</v>
      </c>
      <c r="C9" s="7" t="s">
        <v>33</v>
      </c>
      <c r="D9" s="7"/>
      <c r="E9" s="7">
        <v>0.16</v>
      </c>
      <c r="F9" s="7" t="s">
        <v>19</v>
      </c>
      <c r="G9" s="8"/>
      <c r="H9" s="40"/>
      <c r="I9" s="9">
        <v>5</v>
      </c>
      <c r="J9" s="9" t="s">
        <v>34</v>
      </c>
      <c r="K9" s="9" t="s">
        <v>35</v>
      </c>
      <c r="L9" s="9" t="s">
        <v>36</v>
      </c>
      <c r="M9" s="9">
        <f>1/2*M7*M5</f>
        <v>0.08</v>
      </c>
      <c r="N9" s="9" t="s">
        <v>19</v>
      </c>
    </row>
    <row r="10" spans="1:14" ht="15.75" customHeight="1">
      <c r="A10" s="7">
        <v>6</v>
      </c>
      <c r="B10" s="7" t="s">
        <v>37</v>
      </c>
      <c r="C10" s="7" t="s">
        <v>38</v>
      </c>
      <c r="D10" s="7"/>
      <c r="E10" s="7">
        <v>0.5</v>
      </c>
      <c r="F10" s="7" t="s">
        <v>25</v>
      </c>
      <c r="G10" s="8"/>
      <c r="H10" s="40"/>
      <c r="I10" s="9">
        <v>6</v>
      </c>
      <c r="J10" s="9" t="s">
        <v>39</v>
      </c>
      <c r="K10" s="9" t="s">
        <v>40</v>
      </c>
      <c r="L10" s="9" t="s">
        <v>41</v>
      </c>
      <c r="M10" s="9">
        <f>M8*M9</f>
        <v>2766.0115200000005</v>
      </c>
      <c r="N10" s="9" t="s">
        <v>42</v>
      </c>
    </row>
    <row r="11" spans="1:14" ht="15.75" customHeight="1">
      <c r="A11" s="7">
        <v>7</v>
      </c>
      <c r="B11" s="7" t="s">
        <v>43</v>
      </c>
      <c r="C11" s="7" t="s">
        <v>44</v>
      </c>
      <c r="D11" s="7"/>
      <c r="E11" s="7">
        <v>2</v>
      </c>
      <c r="F11" s="7" t="s">
        <v>45</v>
      </c>
      <c r="G11" s="8"/>
      <c r="H11" s="40"/>
      <c r="I11" s="10">
        <v>7</v>
      </c>
      <c r="J11" s="10" t="s">
        <v>46</v>
      </c>
      <c r="K11" s="10" t="s">
        <v>47</v>
      </c>
      <c r="L11" s="10"/>
      <c r="M11" s="10">
        <v>80</v>
      </c>
      <c r="N11" s="10" t="s">
        <v>13</v>
      </c>
    </row>
    <row r="12" spans="1:14" ht="15.75" customHeight="1">
      <c r="A12" s="11">
        <v>8</v>
      </c>
      <c r="B12" s="11" t="s">
        <v>48</v>
      </c>
      <c r="C12" s="11" t="s">
        <v>49</v>
      </c>
      <c r="D12" s="11"/>
      <c r="E12" s="11">
        <v>0.25</v>
      </c>
      <c r="F12" s="11" t="s">
        <v>21</v>
      </c>
      <c r="G12" s="8"/>
      <c r="H12" s="40"/>
      <c r="I12" s="10">
        <v>8</v>
      </c>
      <c r="J12" s="10" t="s">
        <v>50</v>
      </c>
      <c r="K12" s="10" t="s">
        <v>51</v>
      </c>
      <c r="L12" s="10" t="s">
        <v>52</v>
      </c>
      <c r="M12" s="10">
        <f>(E6+E7)*E14*E17</f>
        <v>33220.584000000003</v>
      </c>
      <c r="N12" s="10" t="s">
        <v>31</v>
      </c>
    </row>
    <row r="13" spans="1:14" ht="15.75" customHeight="1">
      <c r="A13" s="11">
        <v>9</v>
      </c>
      <c r="B13" s="11" t="s">
        <v>53</v>
      </c>
      <c r="C13" s="11" t="s">
        <v>54</v>
      </c>
      <c r="D13" s="11"/>
      <c r="E13" s="11">
        <v>90</v>
      </c>
      <c r="F13" s="11"/>
      <c r="G13" s="8"/>
      <c r="H13" s="40"/>
      <c r="I13" s="10">
        <v>9</v>
      </c>
      <c r="J13" s="10" t="s">
        <v>55</v>
      </c>
      <c r="K13" s="10" t="s">
        <v>56</v>
      </c>
      <c r="L13" s="10" t="s">
        <v>57</v>
      </c>
      <c r="M13" s="10">
        <f>M12*M6</f>
        <v>5315.2934400000004</v>
      </c>
      <c r="N13" s="10" t="s">
        <v>42</v>
      </c>
    </row>
    <row r="14" spans="1:14" ht="15.75" customHeight="1">
      <c r="A14" s="11">
        <v>10</v>
      </c>
      <c r="B14" s="11" t="s">
        <v>58</v>
      </c>
      <c r="C14" s="11" t="s">
        <v>59</v>
      </c>
      <c r="D14" s="11"/>
      <c r="E14" s="11">
        <v>0.2</v>
      </c>
      <c r="F14" s="11"/>
      <c r="G14" s="8"/>
      <c r="H14" s="40"/>
      <c r="I14" s="5">
        <v>10</v>
      </c>
      <c r="J14" s="5" t="s">
        <v>60</v>
      </c>
      <c r="K14" s="5" t="s">
        <v>61</v>
      </c>
      <c r="L14" s="5"/>
      <c r="M14" s="5">
        <v>10</v>
      </c>
      <c r="N14" s="5" t="s">
        <v>13</v>
      </c>
    </row>
    <row r="15" spans="1:14" ht="15.75" customHeight="1">
      <c r="A15" s="11">
        <v>11</v>
      </c>
      <c r="B15" s="11" t="s">
        <v>62</v>
      </c>
      <c r="C15" s="11" t="s">
        <v>63</v>
      </c>
      <c r="D15" s="11"/>
      <c r="E15" s="11">
        <v>0.86</v>
      </c>
      <c r="F15" s="11"/>
      <c r="G15" s="8"/>
      <c r="H15" s="40"/>
      <c r="I15" s="5">
        <v>11</v>
      </c>
      <c r="J15" s="5" t="s">
        <v>64</v>
      </c>
      <c r="K15" s="5" t="s">
        <v>65</v>
      </c>
      <c r="L15" s="5" t="s">
        <v>66</v>
      </c>
      <c r="M15" s="5">
        <f>-M6/M14</f>
        <v>-1.6E-2</v>
      </c>
      <c r="N15" s="5" t="s">
        <v>25</v>
      </c>
    </row>
    <row r="16" spans="1:14" ht="15.75" customHeight="1">
      <c r="A16" s="11">
        <v>12</v>
      </c>
      <c r="B16" s="11" t="s">
        <v>67</v>
      </c>
      <c r="C16" s="11" t="s">
        <v>68</v>
      </c>
      <c r="D16" s="11"/>
      <c r="E16" s="11">
        <v>1.2</v>
      </c>
      <c r="F16" s="11"/>
      <c r="G16" s="8"/>
      <c r="H16" s="40"/>
      <c r="I16" s="5">
        <v>12</v>
      </c>
      <c r="J16" s="5" t="s">
        <v>69</v>
      </c>
      <c r="K16" s="5" t="s">
        <v>70</v>
      </c>
      <c r="L16" s="5" t="s">
        <v>71</v>
      </c>
      <c r="M16" s="5">
        <f>(E6+E7)*(E14*E17+M15)</f>
        <v>32949.672000000006</v>
      </c>
      <c r="N16" s="5" t="s">
        <v>31</v>
      </c>
    </row>
    <row r="17" spans="1:14" ht="15.75" customHeight="1">
      <c r="A17" s="11">
        <v>13</v>
      </c>
      <c r="B17" s="11" t="s">
        <v>72</v>
      </c>
      <c r="C17" s="11" t="s">
        <v>73</v>
      </c>
      <c r="D17" s="11"/>
      <c r="E17" s="11">
        <v>9.81</v>
      </c>
      <c r="F17" s="11" t="s">
        <v>25</v>
      </c>
      <c r="G17" s="8"/>
      <c r="H17" s="40"/>
      <c r="I17" s="5">
        <v>13</v>
      </c>
      <c r="J17" s="5" t="s">
        <v>74</v>
      </c>
      <c r="K17" s="5" t="s">
        <v>75</v>
      </c>
      <c r="L17" s="5" t="s">
        <v>76</v>
      </c>
      <c r="M17" s="5">
        <f>-1/2*M15*M14</f>
        <v>0.08</v>
      </c>
      <c r="N17" s="5" t="s">
        <v>19</v>
      </c>
    </row>
    <row r="18" spans="1:14" ht="15.75" customHeight="1">
      <c r="A18" s="12">
        <v>14</v>
      </c>
      <c r="B18" s="12" t="s">
        <v>77</v>
      </c>
      <c r="C18" s="12" t="s">
        <v>78</v>
      </c>
      <c r="D18" s="12" t="s">
        <v>79</v>
      </c>
      <c r="E18" s="22">
        <f>(E6+E7)*(E14*E17+E10)</f>
        <v>41686.584000000003</v>
      </c>
      <c r="F18" s="12" t="s">
        <v>31</v>
      </c>
      <c r="G18" s="8"/>
      <c r="H18" s="40"/>
      <c r="I18" s="5">
        <v>14</v>
      </c>
      <c r="J18" s="5" t="s">
        <v>80</v>
      </c>
      <c r="K18" s="5" t="s">
        <v>81</v>
      </c>
      <c r="L18" s="5" t="s">
        <v>82</v>
      </c>
      <c r="M18" s="5">
        <f>M16*M17</f>
        <v>2635.9737600000003</v>
      </c>
      <c r="N18" s="5" t="s">
        <v>42</v>
      </c>
    </row>
    <row r="19" spans="1:14" ht="15.75" customHeight="1">
      <c r="A19" s="12">
        <v>15</v>
      </c>
      <c r="B19" s="12" t="s">
        <v>83</v>
      </c>
      <c r="C19" s="12" t="s">
        <v>84</v>
      </c>
      <c r="D19" s="12" t="s">
        <v>85</v>
      </c>
      <c r="E19" s="22">
        <f>E18*E12/2</f>
        <v>5210.8230000000003</v>
      </c>
      <c r="F19" s="12" t="s">
        <v>86</v>
      </c>
      <c r="G19" s="4"/>
      <c r="H19" s="13"/>
      <c r="I19" s="14">
        <v>15</v>
      </c>
      <c r="J19" s="14" t="s">
        <v>87</v>
      </c>
      <c r="K19" s="14" t="s">
        <v>88</v>
      </c>
      <c r="L19" s="14"/>
      <c r="M19" s="15">
        <v>30</v>
      </c>
      <c r="N19" s="14" t="s">
        <v>13</v>
      </c>
    </row>
    <row r="20" spans="1:14" ht="15.75" customHeight="1">
      <c r="A20" s="12">
        <v>16</v>
      </c>
      <c r="B20" s="12" t="s">
        <v>89</v>
      </c>
      <c r="C20" s="12" t="s">
        <v>90</v>
      </c>
      <c r="D20" s="12" t="s">
        <v>91</v>
      </c>
      <c r="E20" s="22">
        <f>E16*E19/(E15*E13)</f>
        <v>80.787953488372096</v>
      </c>
      <c r="F20" s="12" t="s">
        <v>86</v>
      </c>
      <c r="G20" s="4"/>
      <c r="H20" s="42" t="s">
        <v>92</v>
      </c>
      <c r="I20" s="9">
        <v>16</v>
      </c>
      <c r="J20" s="9" t="s">
        <v>11</v>
      </c>
      <c r="K20" s="9" t="s">
        <v>93</v>
      </c>
      <c r="L20" s="9"/>
      <c r="M20" s="16">
        <v>2</v>
      </c>
      <c r="N20" s="9" t="s">
        <v>13</v>
      </c>
    </row>
    <row r="21" spans="1:14" ht="15.75" customHeight="1">
      <c r="A21" s="12">
        <v>17</v>
      </c>
      <c r="B21" s="12" t="s">
        <v>94</v>
      </c>
      <c r="C21" s="12" t="s">
        <v>95</v>
      </c>
      <c r="D21" s="12" t="s">
        <v>96</v>
      </c>
      <c r="E21" s="22">
        <f>2*E9/E12</f>
        <v>1.28</v>
      </c>
      <c r="F21" s="12" t="s">
        <v>97</v>
      </c>
      <c r="G21" s="4"/>
      <c r="H21" s="40"/>
      <c r="I21" s="9">
        <v>17</v>
      </c>
      <c r="J21" s="9" t="s">
        <v>17</v>
      </c>
      <c r="K21" s="9" t="s">
        <v>18</v>
      </c>
      <c r="L21" s="9"/>
      <c r="M21" s="16">
        <v>0.16</v>
      </c>
      <c r="N21" s="9" t="s">
        <v>19</v>
      </c>
    </row>
    <row r="22" spans="1:14" ht="15.75" customHeight="1">
      <c r="A22" s="12">
        <v>18</v>
      </c>
      <c r="B22" s="12" t="s">
        <v>98</v>
      </c>
      <c r="C22" s="12" t="s">
        <v>99</v>
      </c>
      <c r="D22" s="12" t="s">
        <v>100</v>
      </c>
      <c r="E22" s="22">
        <f>60*E21/(2*3.14)</f>
        <v>12.229299363057324</v>
      </c>
      <c r="F22" s="12" t="s">
        <v>101</v>
      </c>
      <c r="G22" s="4"/>
      <c r="H22" s="40"/>
      <c r="I22" s="9">
        <v>18</v>
      </c>
      <c r="J22" s="9" t="s">
        <v>22</v>
      </c>
      <c r="K22" s="9" t="s">
        <v>102</v>
      </c>
      <c r="L22" s="9" t="s">
        <v>103</v>
      </c>
      <c r="M22" s="16">
        <f>M21/M20</f>
        <v>0.08</v>
      </c>
      <c r="N22" s="9" t="s">
        <v>25</v>
      </c>
    </row>
    <row r="23" spans="1:14" ht="15.75" customHeight="1">
      <c r="A23" s="12">
        <v>19</v>
      </c>
      <c r="B23" s="12" t="s">
        <v>104</v>
      </c>
      <c r="C23" s="12" t="s">
        <v>105</v>
      </c>
      <c r="D23" s="12" t="s">
        <v>106</v>
      </c>
      <c r="E23" s="22">
        <f>E22*E13</f>
        <v>1100.6369426751592</v>
      </c>
      <c r="F23" s="12" t="s">
        <v>101</v>
      </c>
      <c r="G23" s="4"/>
      <c r="H23" s="40"/>
      <c r="I23" s="9">
        <v>19</v>
      </c>
      <c r="J23" s="9" t="s">
        <v>28</v>
      </c>
      <c r="K23" s="9" t="s">
        <v>107</v>
      </c>
      <c r="L23" s="9" t="s">
        <v>108</v>
      </c>
      <c r="M23" s="16">
        <f>E7*(E14*E17+M22)</f>
        <v>543.17200000000003</v>
      </c>
      <c r="N23" s="9" t="s">
        <v>31</v>
      </c>
    </row>
    <row r="24" spans="1:14" ht="15.75" customHeight="1">
      <c r="A24" s="12">
        <v>20</v>
      </c>
      <c r="B24" s="12" t="s">
        <v>109</v>
      </c>
      <c r="C24" s="12" t="s">
        <v>110</v>
      </c>
      <c r="D24" s="12" t="s">
        <v>111</v>
      </c>
      <c r="E24" s="22">
        <f>(2*3.14/60)*(E20*E23/E15)</f>
        <v>10821.828188209844</v>
      </c>
      <c r="F24" s="12" t="s">
        <v>42</v>
      </c>
      <c r="G24" s="4"/>
      <c r="H24" s="40"/>
      <c r="I24" s="9">
        <v>20</v>
      </c>
      <c r="J24" s="9" t="s">
        <v>34</v>
      </c>
      <c r="K24" s="9" t="s">
        <v>112</v>
      </c>
      <c r="L24" s="9" t="s">
        <v>113</v>
      </c>
      <c r="M24" s="16">
        <f>1/2*M22*M20</f>
        <v>0.08</v>
      </c>
      <c r="N24" s="9" t="s">
        <v>19</v>
      </c>
    </row>
    <row r="25" spans="1:14" ht="15.75" customHeight="1">
      <c r="A25" s="3"/>
      <c r="B25" s="3"/>
      <c r="C25" s="3"/>
      <c r="D25" s="3"/>
      <c r="E25" s="3"/>
      <c r="F25" s="3"/>
      <c r="G25" s="4"/>
      <c r="H25" s="40"/>
      <c r="I25" s="9">
        <v>21</v>
      </c>
      <c r="J25" s="9" t="s">
        <v>39</v>
      </c>
      <c r="K25" s="9" t="s">
        <v>115</v>
      </c>
      <c r="L25" s="9" t="s">
        <v>116</v>
      </c>
      <c r="M25" s="16">
        <f>M23*M24</f>
        <v>43.453760000000003</v>
      </c>
      <c r="N25" s="9" t="s">
        <v>42</v>
      </c>
    </row>
    <row r="26" spans="1:14" ht="15.75" customHeight="1">
      <c r="A26" s="3"/>
      <c r="B26" s="17" t="s">
        <v>118</v>
      </c>
      <c r="C26" s="17" t="s">
        <v>120</v>
      </c>
      <c r="D26" s="37">
        <f>MAX(E24, M38)</f>
        <v>10821.828188209844</v>
      </c>
      <c r="E26" s="17" t="s">
        <v>42</v>
      </c>
      <c r="F26" s="3"/>
      <c r="G26" s="4"/>
      <c r="H26" s="40"/>
      <c r="I26" s="10">
        <v>22</v>
      </c>
      <c r="J26" s="10" t="s">
        <v>46</v>
      </c>
      <c r="K26" s="10" t="s">
        <v>123</v>
      </c>
      <c r="L26" s="10"/>
      <c r="M26" s="19">
        <v>80</v>
      </c>
      <c r="N26" s="10" t="s">
        <v>13</v>
      </c>
    </row>
    <row r="27" spans="1:14" ht="15.75" customHeight="1">
      <c r="A27" s="3"/>
      <c r="B27" s="17" t="s">
        <v>223</v>
      </c>
      <c r="C27" s="17" t="s">
        <v>129</v>
      </c>
      <c r="D27" s="37">
        <f>E23</f>
        <v>1100.6369426751592</v>
      </c>
      <c r="E27" s="17" t="s">
        <v>101</v>
      </c>
      <c r="F27" s="3"/>
      <c r="G27" s="4"/>
      <c r="H27" s="40"/>
      <c r="I27" s="10">
        <v>23</v>
      </c>
      <c r="J27" s="10" t="s">
        <v>50</v>
      </c>
      <c r="K27" s="10" t="s">
        <v>51</v>
      </c>
      <c r="L27" s="10" t="s">
        <v>132</v>
      </c>
      <c r="M27" s="19">
        <f>E7*(E14*E17)</f>
        <v>521.89200000000005</v>
      </c>
      <c r="N27" s="10" t="s">
        <v>31</v>
      </c>
    </row>
    <row r="28" spans="1:14" ht="15.75" customHeight="1">
      <c r="A28" s="3"/>
      <c r="B28" s="17"/>
      <c r="C28" s="17" t="s">
        <v>136</v>
      </c>
      <c r="D28" s="37">
        <f>E20</f>
        <v>80.787953488372096</v>
      </c>
      <c r="E28" s="17" t="s">
        <v>86</v>
      </c>
      <c r="F28" s="3"/>
      <c r="G28" s="4"/>
      <c r="H28" s="40"/>
      <c r="I28" s="10">
        <v>24</v>
      </c>
      <c r="J28" s="10" t="s">
        <v>55</v>
      </c>
      <c r="K28" s="10" t="s">
        <v>139</v>
      </c>
      <c r="L28" s="10" t="s">
        <v>140</v>
      </c>
      <c r="M28" s="19">
        <f>M27*M21</f>
        <v>83.502720000000011</v>
      </c>
      <c r="N28" s="10" t="s">
        <v>42</v>
      </c>
    </row>
    <row r="29" spans="1:14" ht="15.75" customHeight="1">
      <c r="A29" s="4"/>
      <c r="B29" s="4"/>
      <c r="C29" s="4"/>
      <c r="D29" s="4"/>
      <c r="E29" s="4"/>
      <c r="F29" s="4"/>
      <c r="G29" s="4"/>
      <c r="H29" s="40"/>
      <c r="I29" s="5">
        <v>25</v>
      </c>
      <c r="J29" s="5" t="s">
        <v>60</v>
      </c>
      <c r="K29" s="5" t="s">
        <v>144</v>
      </c>
      <c r="L29" s="5"/>
      <c r="M29" s="21">
        <v>5</v>
      </c>
      <c r="N29" s="5" t="s">
        <v>13</v>
      </c>
    </row>
    <row r="30" spans="1:14" ht="15.75" customHeight="1">
      <c r="A30" s="4"/>
      <c r="B30" s="4"/>
      <c r="C30" s="4"/>
      <c r="D30" s="4"/>
      <c r="E30" s="4"/>
      <c r="F30" s="4"/>
      <c r="G30" s="4"/>
      <c r="H30" s="40"/>
      <c r="I30" s="5">
        <v>26</v>
      </c>
      <c r="J30" s="5" t="s">
        <v>64</v>
      </c>
      <c r="K30" s="5" t="s">
        <v>145</v>
      </c>
      <c r="L30" s="5" t="s">
        <v>146</v>
      </c>
      <c r="M30" s="21">
        <f>-M21/M29</f>
        <v>-3.2000000000000001E-2</v>
      </c>
      <c r="N30" s="5" t="s">
        <v>25</v>
      </c>
    </row>
    <row r="31" spans="1:14" ht="15.75" customHeight="1">
      <c r="A31" s="43" t="s">
        <v>147</v>
      </c>
      <c r="B31" s="44"/>
      <c r="C31" s="44"/>
      <c r="D31" s="45"/>
      <c r="E31" s="23"/>
      <c r="F31" s="4"/>
      <c r="G31" s="4"/>
      <c r="H31" s="40"/>
      <c r="I31" s="5">
        <v>27</v>
      </c>
      <c r="J31" s="5" t="s">
        <v>69</v>
      </c>
      <c r="K31" s="5" t="s">
        <v>70</v>
      </c>
      <c r="L31" s="5" t="s">
        <v>151</v>
      </c>
      <c r="M31" s="21">
        <f>E7*(E14*E17+M30)</f>
        <v>513.38</v>
      </c>
      <c r="N31" s="5" t="s">
        <v>31</v>
      </c>
    </row>
    <row r="32" spans="1:14" ht="15.75" customHeight="1">
      <c r="A32" s="24" t="s">
        <v>2</v>
      </c>
      <c r="B32" s="24" t="s">
        <v>3</v>
      </c>
      <c r="C32" s="24" t="s">
        <v>6</v>
      </c>
      <c r="D32" s="24" t="s">
        <v>7</v>
      </c>
      <c r="E32" s="25" t="s">
        <v>155</v>
      </c>
      <c r="F32" s="4"/>
      <c r="G32" s="4"/>
      <c r="H32" s="40"/>
      <c r="I32" s="5">
        <v>28</v>
      </c>
      <c r="J32" s="5" t="s">
        <v>74</v>
      </c>
      <c r="K32" s="5" t="s">
        <v>156</v>
      </c>
      <c r="L32" s="5" t="s">
        <v>157</v>
      </c>
      <c r="M32" s="21">
        <f>-1/2*M30*M29</f>
        <v>0.08</v>
      </c>
      <c r="N32" s="5" t="s">
        <v>19</v>
      </c>
    </row>
    <row r="33" spans="1:14" ht="15.75" customHeight="1">
      <c r="A33" s="26"/>
      <c r="B33" s="26"/>
      <c r="C33" s="27"/>
      <c r="D33" s="26"/>
      <c r="E33" s="26"/>
      <c r="F33" s="4"/>
      <c r="G33" s="4"/>
      <c r="H33" s="40"/>
      <c r="I33" s="5">
        <v>29</v>
      </c>
      <c r="J33" s="5" t="s">
        <v>80</v>
      </c>
      <c r="K33" s="5" t="s">
        <v>161</v>
      </c>
      <c r="L33" s="5" t="s">
        <v>162</v>
      </c>
      <c r="M33" s="21">
        <f>M31*M32</f>
        <v>41.070399999999999</v>
      </c>
      <c r="N33" s="5" t="s">
        <v>42</v>
      </c>
    </row>
    <row r="34" spans="1:14" ht="15.75" customHeight="1">
      <c r="A34" s="24">
        <v>1</v>
      </c>
      <c r="B34" s="24" t="s">
        <v>119</v>
      </c>
      <c r="C34" s="24">
        <v>11</v>
      </c>
      <c r="D34" s="24" t="s">
        <v>122</v>
      </c>
      <c r="E34" s="24" t="s">
        <v>163</v>
      </c>
      <c r="F34" s="4"/>
      <c r="G34" s="4"/>
      <c r="H34" s="13"/>
      <c r="I34" s="28">
        <v>30</v>
      </c>
      <c r="J34" s="28" t="s">
        <v>164</v>
      </c>
      <c r="K34" s="28" t="s">
        <v>165</v>
      </c>
      <c r="L34" s="28" t="s">
        <v>166</v>
      </c>
      <c r="M34" s="29">
        <f>SQRT((M10^2*M5+M13^2*M11+M18^2*M14+M25^2*M20+M28^2*M26+M33^2*M29)/(M5+M11+M14+M20+M26+M29))</f>
        <v>3619.8882595205869</v>
      </c>
      <c r="N34" s="28" t="s">
        <v>42</v>
      </c>
    </row>
    <row r="35" spans="1:14" ht="15.75" customHeight="1">
      <c r="A35" s="24">
        <v>2</v>
      </c>
      <c r="B35" s="24" t="s">
        <v>168</v>
      </c>
      <c r="C35" s="24">
        <v>400</v>
      </c>
      <c r="D35" s="24" t="s">
        <v>170</v>
      </c>
      <c r="E35" s="24" t="s">
        <v>171</v>
      </c>
      <c r="H35" s="31"/>
      <c r="I35" s="32">
        <v>31</v>
      </c>
      <c r="J35" s="32" t="s">
        <v>172</v>
      </c>
      <c r="K35" s="32" t="s">
        <v>173</v>
      </c>
      <c r="L35" s="32" t="s">
        <v>174</v>
      </c>
      <c r="M35" s="32">
        <f>2*M21*E13/E12</f>
        <v>115.2</v>
      </c>
      <c r="N35" s="32" t="s">
        <v>97</v>
      </c>
    </row>
    <row r="36" spans="1:14" ht="15.75" customHeight="1">
      <c r="A36" s="24">
        <v>3</v>
      </c>
      <c r="B36" s="24" t="s">
        <v>148</v>
      </c>
      <c r="C36" s="24">
        <v>1473</v>
      </c>
      <c r="D36" s="24" t="s">
        <v>177</v>
      </c>
      <c r="E36" s="24" t="s">
        <v>178</v>
      </c>
      <c r="H36" s="31"/>
      <c r="I36" s="32">
        <v>31</v>
      </c>
      <c r="J36" s="33" t="s">
        <v>179</v>
      </c>
      <c r="K36" s="32" t="s">
        <v>181</v>
      </c>
      <c r="L36" s="32" t="s">
        <v>182</v>
      </c>
      <c r="M36" s="32">
        <f>M34/M35</f>
        <v>31.422641141671761</v>
      </c>
      <c r="N36" s="32" t="s">
        <v>86</v>
      </c>
    </row>
    <row r="37" spans="1:14" ht="16.5">
      <c r="A37" s="24">
        <v>4</v>
      </c>
      <c r="B37" s="24" t="s">
        <v>183</v>
      </c>
      <c r="C37" s="24">
        <v>92.2</v>
      </c>
      <c r="D37" s="24" t="s">
        <v>184</v>
      </c>
      <c r="E37" s="24" t="s">
        <v>63</v>
      </c>
      <c r="H37" s="31"/>
      <c r="I37" s="32">
        <v>32</v>
      </c>
      <c r="J37" s="32" t="s">
        <v>185</v>
      </c>
      <c r="K37" s="32" t="s">
        <v>186</v>
      </c>
      <c r="L37" s="33" t="s">
        <v>187</v>
      </c>
      <c r="M37" s="32">
        <f>M8*E12/(2*E15*E13)</f>
        <v>55.838410852713189</v>
      </c>
      <c r="N37" s="32" t="s">
        <v>86</v>
      </c>
    </row>
    <row r="38" spans="1:14" ht="16.5">
      <c r="A38" s="24">
        <v>5</v>
      </c>
      <c r="B38" s="24" t="s">
        <v>190</v>
      </c>
      <c r="C38" s="24">
        <v>93</v>
      </c>
      <c r="D38" s="24" t="s">
        <v>184</v>
      </c>
      <c r="E38" s="26"/>
      <c r="H38" s="31"/>
      <c r="I38" s="32">
        <v>33</v>
      </c>
      <c r="J38" s="34" t="s">
        <v>191</v>
      </c>
      <c r="K38" s="34" t="s">
        <v>192</v>
      </c>
      <c r="L38" s="34" t="s">
        <v>193</v>
      </c>
      <c r="M38" s="35">
        <f>M34*E16/E15</f>
        <v>5051.0068737496558</v>
      </c>
      <c r="N38" s="34" t="s">
        <v>42</v>
      </c>
    </row>
    <row r="39" spans="1:14" ht="16.5">
      <c r="A39" s="24"/>
      <c r="B39" s="24" t="s">
        <v>195</v>
      </c>
      <c r="C39" s="24">
        <v>92.7</v>
      </c>
      <c r="D39" s="24" t="s">
        <v>184</v>
      </c>
      <c r="E39" s="24"/>
    </row>
    <row r="40" spans="1:14" ht="16.5">
      <c r="A40" s="24">
        <v>6</v>
      </c>
      <c r="B40" s="24" t="s">
        <v>197</v>
      </c>
      <c r="C40" s="24">
        <v>0.84</v>
      </c>
      <c r="D40" s="26"/>
      <c r="E40" s="24" t="s">
        <v>198</v>
      </c>
    </row>
    <row r="41" spans="1:14" ht="16.5">
      <c r="A41" s="24">
        <v>7</v>
      </c>
      <c r="B41" s="24" t="s">
        <v>199</v>
      </c>
      <c r="C41" s="24">
        <v>20.399999999999999</v>
      </c>
      <c r="D41" s="24" t="s">
        <v>180</v>
      </c>
      <c r="E41" s="24" t="s">
        <v>200</v>
      </c>
    </row>
    <row r="42" spans="1:14" ht="16.5">
      <c r="A42" s="24">
        <v>8</v>
      </c>
      <c r="B42" s="24" t="s">
        <v>201</v>
      </c>
      <c r="C42" s="24">
        <f>C41*7.7</f>
        <v>157.07999999999998</v>
      </c>
      <c r="D42" s="24" t="s">
        <v>180</v>
      </c>
      <c r="E42" s="24" t="s">
        <v>202</v>
      </c>
    </row>
    <row r="43" spans="1:14" ht="16.5">
      <c r="A43" s="24">
        <v>9</v>
      </c>
      <c r="B43" s="24" t="s">
        <v>205</v>
      </c>
      <c r="C43" s="24">
        <v>71.3</v>
      </c>
      <c r="D43" s="24" t="s">
        <v>86</v>
      </c>
      <c r="E43" s="24" t="s">
        <v>208</v>
      </c>
    </row>
    <row r="44" spans="1:14" ht="16.5">
      <c r="A44" s="24">
        <v>10</v>
      </c>
      <c r="B44" s="24" t="s">
        <v>207</v>
      </c>
      <c r="C44" s="24">
        <f>C43*2.6</f>
        <v>185.38</v>
      </c>
      <c r="D44" s="24" t="s">
        <v>86</v>
      </c>
      <c r="E44" s="24" t="s">
        <v>252</v>
      </c>
    </row>
    <row r="45" spans="1:14" ht="16.5">
      <c r="A45" s="24">
        <v>11</v>
      </c>
      <c r="B45" s="24" t="s">
        <v>209</v>
      </c>
      <c r="C45" s="24">
        <f>C43*2.9</f>
        <v>206.76999999999998</v>
      </c>
      <c r="D45" s="24" t="s">
        <v>86</v>
      </c>
      <c r="E45" s="24" t="s">
        <v>255</v>
      </c>
    </row>
    <row r="46" spans="1:14" ht="16.5">
      <c r="A46" s="24">
        <v>12</v>
      </c>
      <c r="B46" s="24" t="s">
        <v>133</v>
      </c>
      <c r="C46" s="24">
        <v>50</v>
      </c>
      <c r="D46" s="24" t="s">
        <v>135</v>
      </c>
      <c r="E46" s="26"/>
    </row>
    <row r="47" spans="1:14" ht="16.5">
      <c r="A47" s="24">
        <v>13</v>
      </c>
      <c r="B47" s="24" t="s">
        <v>213</v>
      </c>
      <c r="C47" s="24">
        <v>2</v>
      </c>
      <c r="D47" s="24" t="s">
        <v>214</v>
      </c>
      <c r="E47" s="26"/>
    </row>
    <row r="48" spans="1:14" ht="16.5">
      <c r="A48" s="24">
        <v>14</v>
      </c>
      <c r="B48" s="24" t="s">
        <v>215</v>
      </c>
      <c r="C48" s="24">
        <v>0.108</v>
      </c>
      <c r="D48" s="24" t="s">
        <v>216</v>
      </c>
      <c r="E48" s="24" t="s">
        <v>217</v>
      </c>
    </row>
    <row r="49" spans="1:16" ht="16.5">
      <c r="A49" s="24">
        <v>15</v>
      </c>
      <c r="B49" s="24" t="s">
        <v>218</v>
      </c>
      <c r="C49" s="24">
        <v>126</v>
      </c>
      <c r="D49" s="24" t="s">
        <v>219</v>
      </c>
      <c r="E49" s="26"/>
    </row>
    <row r="54" spans="1:16" ht="12.75">
      <c r="M54" s="1" t="s">
        <v>220</v>
      </c>
      <c r="N54" s="36">
        <v>114</v>
      </c>
      <c r="O54" s="1">
        <v>125</v>
      </c>
      <c r="P54" s="1">
        <v>59</v>
      </c>
    </row>
  </sheetData>
  <mergeCells count="4">
    <mergeCell ref="B3:D3"/>
    <mergeCell ref="H5:H18"/>
    <mergeCell ref="H20:H33"/>
    <mergeCell ref="A31:D31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P54"/>
  <sheetViews>
    <sheetView workbookViewId="0"/>
  </sheetViews>
  <sheetFormatPr defaultColWidth="12.5703125" defaultRowHeight="15.75" customHeight="1"/>
  <cols>
    <col min="1" max="1" width="4.85546875" customWidth="1"/>
    <col min="2" max="2" width="47.42578125" customWidth="1"/>
    <col min="4" max="4" width="22.42578125" customWidth="1"/>
    <col min="5" max="5" width="13.85546875" customWidth="1"/>
    <col min="6" max="6" width="7" customWidth="1"/>
    <col min="7" max="7" width="8.42578125" customWidth="1"/>
    <col min="8" max="8" width="11.7109375" customWidth="1"/>
    <col min="9" max="9" width="4.85546875" customWidth="1"/>
    <col min="10" max="10" width="30.5703125" customWidth="1"/>
    <col min="11" max="11" width="9" customWidth="1"/>
    <col min="12" max="12" width="82.5703125" customWidth="1"/>
    <col min="13" max="13" width="12.42578125" customWidth="1"/>
    <col min="14" max="14" width="7" customWidth="1"/>
  </cols>
  <sheetData>
    <row r="1" spans="1:14" ht="15.75" customHeight="1">
      <c r="A1" s="3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</row>
    <row r="2" spans="1:14" ht="15.75" customHeight="1">
      <c r="A2" s="3"/>
      <c r="B2" s="3"/>
      <c r="C2" s="3"/>
      <c r="D2" s="3"/>
      <c r="E2" s="3"/>
      <c r="F2" s="3"/>
      <c r="G2" s="4"/>
      <c r="H2" s="4"/>
      <c r="I2" s="4"/>
      <c r="J2" s="4" t="s">
        <v>0</v>
      </c>
      <c r="K2" s="4"/>
      <c r="L2" s="4"/>
      <c r="M2" s="4"/>
      <c r="N2" s="4"/>
    </row>
    <row r="3" spans="1:14" ht="15.75" customHeight="1">
      <c r="A3" s="3"/>
      <c r="B3" s="39" t="s">
        <v>1</v>
      </c>
      <c r="C3" s="40"/>
      <c r="D3" s="40"/>
      <c r="E3" s="3"/>
      <c r="F3" s="3"/>
      <c r="G3" s="4"/>
      <c r="H3" s="4"/>
      <c r="I3" s="4"/>
      <c r="J3" s="4"/>
      <c r="K3" s="4"/>
      <c r="L3" s="4"/>
      <c r="M3" s="4"/>
      <c r="N3" s="4"/>
    </row>
    <row r="4" spans="1:14" ht="15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4"/>
      <c r="H4" s="6"/>
      <c r="I4" s="5" t="s">
        <v>2</v>
      </c>
      <c r="J4" s="5" t="s">
        <v>3</v>
      </c>
      <c r="K4" s="5" t="s">
        <v>4</v>
      </c>
      <c r="L4" s="5" t="s">
        <v>5</v>
      </c>
      <c r="M4" s="5" t="s">
        <v>6</v>
      </c>
      <c r="N4" s="5" t="s">
        <v>7</v>
      </c>
    </row>
    <row r="5" spans="1:14" ht="15.75" customHeight="1">
      <c r="A5" s="7">
        <v>1</v>
      </c>
      <c r="B5" s="7" t="s">
        <v>8</v>
      </c>
      <c r="C5" s="7" t="s">
        <v>9</v>
      </c>
      <c r="D5" s="7"/>
      <c r="E5" s="7">
        <v>3</v>
      </c>
      <c r="F5" s="7"/>
      <c r="G5" s="8"/>
      <c r="H5" s="41" t="s">
        <v>10</v>
      </c>
      <c r="I5" s="9">
        <v>1</v>
      </c>
      <c r="J5" s="9" t="s">
        <v>11</v>
      </c>
      <c r="K5" s="9" t="s">
        <v>12</v>
      </c>
      <c r="L5" s="9"/>
      <c r="M5" s="9">
        <v>2</v>
      </c>
      <c r="N5" s="9" t="s">
        <v>13</v>
      </c>
    </row>
    <row r="6" spans="1:14" ht="15.75" customHeight="1">
      <c r="A6" s="7">
        <v>2</v>
      </c>
      <c r="B6" s="7" t="s">
        <v>14</v>
      </c>
      <c r="C6" s="7" t="s">
        <v>15</v>
      </c>
      <c r="D6" s="7"/>
      <c r="E6" s="7">
        <v>13333</v>
      </c>
      <c r="F6" s="7" t="s">
        <v>16</v>
      </c>
      <c r="G6" s="8"/>
      <c r="H6" s="40"/>
      <c r="I6" s="9">
        <v>2</v>
      </c>
      <c r="J6" s="9" t="s">
        <v>17</v>
      </c>
      <c r="K6" s="9" t="s">
        <v>18</v>
      </c>
      <c r="L6" s="9"/>
      <c r="M6" s="9">
        <v>0.13</v>
      </c>
      <c r="N6" s="9" t="s">
        <v>19</v>
      </c>
    </row>
    <row r="7" spans="1:14" ht="15.75" customHeight="1">
      <c r="A7" s="7">
        <v>3</v>
      </c>
      <c r="B7" s="7" t="s">
        <v>20</v>
      </c>
      <c r="C7" s="7" t="s">
        <v>21</v>
      </c>
      <c r="D7" s="7"/>
      <c r="E7" s="7">
        <v>233</v>
      </c>
      <c r="F7" s="7" t="s">
        <v>16</v>
      </c>
      <c r="G7" s="8"/>
      <c r="H7" s="40"/>
      <c r="I7" s="9">
        <v>3</v>
      </c>
      <c r="J7" s="9" t="s">
        <v>22</v>
      </c>
      <c r="K7" s="9" t="s">
        <v>23</v>
      </c>
      <c r="L7" s="9" t="s">
        <v>24</v>
      </c>
      <c r="M7" s="9">
        <f>M6/M5</f>
        <v>6.5000000000000002E-2</v>
      </c>
      <c r="N7" s="9" t="s">
        <v>25</v>
      </c>
    </row>
    <row r="8" spans="1:14" ht="15.75" customHeight="1">
      <c r="A8" s="7">
        <v>4</v>
      </c>
      <c r="B8" s="7" t="s">
        <v>26</v>
      </c>
      <c r="C8" s="7" t="s">
        <v>27</v>
      </c>
      <c r="D8" s="7"/>
      <c r="E8" s="7">
        <v>13</v>
      </c>
      <c r="F8" s="7" t="s">
        <v>21</v>
      </c>
      <c r="G8" s="8"/>
      <c r="H8" s="40"/>
      <c r="I8" s="9">
        <v>4</v>
      </c>
      <c r="J8" s="9" t="s">
        <v>28</v>
      </c>
      <c r="K8" s="9" t="s">
        <v>29</v>
      </c>
      <c r="L8" s="9" t="s">
        <v>30</v>
      </c>
      <c r="M8" s="9">
        <f>(E6+E7)*(E14*E17+M7)</f>
        <v>27498.282000000003</v>
      </c>
      <c r="N8" s="9" t="s">
        <v>31</v>
      </c>
    </row>
    <row r="9" spans="1:14" ht="15.75" customHeight="1">
      <c r="A9" s="7">
        <v>5</v>
      </c>
      <c r="B9" s="7" t="s">
        <v>32</v>
      </c>
      <c r="C9" s="7" t="s">
        <v>33</v>
      </c>
      <c r="D9" s="7"/>
      <c r="E9" s="7">
        <v>0.13</v>
      </c>
      <c r="F9" s="7" t="s">
        <v>19</v>
      </c>
      <c r="G9" s="8"/>
      <c r="H9" s="40"/>
      <c r="I9" s="9">
        <v>5</v>
      </c>
      <c r="J9" s="9" t="s">
        <v>34</v>
      </c>
      <c r="K9" s="9" t="s">
        <v>35</v>
      </c>
      <c r="L9" s="9" t="s">
        <v>36</v>
      </c>
      <c r="M9" s="9">
        <f>1/2*M7*M5</f>
        <v>6.5000000000000002E-2</v>
      </c>
      <c r="N9" s="9" t="s">
        <v>19</v>
      </c>
    </row>
    <row r="10" spans="1:14" ht="15.75" customHeight="1">
      <c r="A10" s="7">
        <v>6</v>
      </c>
      <c r="B10" s="7" t="s">
        <v>37</v>
      </c>
      <c r="C10" s="7" t="s">
        <v>38</v>
      </c>
      <c r="D10" s="7"/>
      <c r="E10" s="7">
        <v>0.5</v>
      </c>
      <c r="F10" s="7" t="s">
        <v>25</v>
      </c>
      <c r="G10" s="8"/>
      <c r="H10" s="40"/>
      <c r="I10" s="9">
        <v>6</v>
      </c>
      <c r="J10" s="9" t="s">
        <v>39</v>
      </c>
      <c r="K10" s="9" t="s">
        <v>40</v>
      </c>
      <c r="L10" s="9" t="s">
        <v>41</v>
      </c>
      <c r="M10" s="9">
        <f>M8*M9</f>
        <v>1787.3883300000002</v>
      </c>
      <c r="N10" s="9" t="s">
        <v>42</v>
      </c>
    </row>
    <row r="11" spans="1:14" ht="15.75" customHeight="1">
      <c r="A11" s="7">
        <v>7</v>
      </c>
      <c r="B11" s="7" t="s">
        <v>43</v>
      </c>
      <c r="C11" s="7" t="s">
        <v>44</v>
      </c>
      <c r="D11" s="7"/>
      <c r="E11" s="7">
        <v>2</v>
      </c>
      <c r="F11" s="7" t="s">
        <v>45</v>
      </c>
      <c r="G11" s="8"/>
      <c r="H11" s="40"/>
      <c r="I11" s="10">
        <v>7</v>
      </c>
      <c r="J11" s="10" t="s">
        <v>46</v>
      </c>
      <c r="K11" s="10" t="s">
        <v>47</v>
      </c>
      <c r="L11" s="10"/>
      <c r="M11" s="10">
        <v>80</v>
      </c>
      <c r="N11" s="10" t="s">
        <v>13</v>
      </c>
    </row>
    <row r="12" spans="1:14" ht="15.75" customHeight="1">
      <c r="A12" s="11">
        <v>8</v>
      </c>
      <c r="B12" s="11" t="s">
        <v>48</v>
      </c>
      <c r="C12" s="11" t="s">
        <v>49</v>
      </c>
      <c r="D12" s="11"/>
      <c r="E12" s="11">
        <v>0.25</v>
      </c>
      <c r="F12" s="11" t="s">
        <v>21</v>
      </c>
      <c r="G12" s="8"/>
      <c r="H12" s="40"/>
      <c r="I12" s="10">
        <v>8</v>
      </c>
      <c r="J12" s="10" t="s">
        <v>50</v>
      </c>
      <c r="K12" s="10" t="s">
        <v>51</v>
      </c>
      <c r="L12" s="10" t="s">
        <v>52</v>
      </c>
      <c r="M12" s="10">
        <f>(E6+E7)*E14*E17</f>
        <v>26616.492000000006</v>
      </c>
      <c r="N12" s="10" t="s">
        <v>31</v>
      </c>
    </row>
    <row r="13" spans="1:14" ht="15.75" customHeight="1">
      <c r="A13" s="11">
        <v>9</v>
      </c>
      <c r="B13" s="11" t="s">
        <v>53</v>
      </c>
      <c r="C13" s="11" t="s">
        <v>54</v>
      </c>
      <c r="D13" s="11"/>
      <c r="E13" s="11">
        <v>75</v>
      </c>
      <c r="F13" s="11"/>
      <c r="G13" s="8"/>
      <c r="H13" s="40"/>
      <c r="I13" s="10">
        <v>9</v>
      </c>
      <c r="J13" s="10" t="s">
        <v>55</v>
      </c>
      <c r="K13" s="10" t="s">
        <v>56</v>
      </c>
      <c r="L13" s="10" t="s">
        <v>57</v>
      </c>
      <c r="M13" s="10">
        <f>M12*M6</f>
        <v>3460.1439600000008</v>
      </c>
      <c r="N13" s="10" t="s">
        <v>42</v>
      </c>
    </row>
    <row r="14" spans="1:14" ht="15.75" customHeight="1">
      <c r="A14" s="11">
        <v>10</v>
      </c>
      <c r="B14" s="11" t="s">
        <v>58</v>
      </c>
      <c r="C14" s="11" t="s">
        <v>59</v>
      </c>
      <c r="D14" s="11"/>
      <c r="E14" s="11">
        <v>0.2</v>
      </c>
      <c r="F14" s="11"/>
      <c r="G14" s="8"/>
      <c r="H14" s="40"/>
      <c r="I14" s="5">
        <v>10</v>
      </c>
      <c r="J14" s="5" t="s">
        <v>60</v>
      </c>
      <c r="K14" s="5" t="s">
        <v>61</v>
      </c>
      <c r="L14" s="5"/>
      <c r="M14" s="5">
        <v>10</v>
      </c>
      <c r="N14" s="5" t="s">
        <v>13</v>
      </c>
    </row>
    <row r="15" spans="1:14" ht="15.75" customHeight="1">
      <c r="A15" s="11">
        <v>11</v>
      </c>
      <c r="B15" s="11" t="s">
        <v>62</v>
      </c>
      <c r="C15" s="11" t="s">
        <v>63</v>
      </c>
      <c r="D15" s="11"/>
      <c r="E15" s="11">
        <v>0.96</v>
      </c>
      <c r="F15" s="11"/>
      <c r="G15" s="8"/>
      <c r="H15" s="40"/>
      <c r="I15" s="5">
        <v>11</v>
      </c>
      <c r="J15" s="5" t="s">
        <v>64</v>
      </c>
      <c r="K15" s="5" t="s">
        <v>65</v>
      </c>
      <c r="L15" s="5" t="s">
        <v>66</v>
      </c>
      <c r="M15" s="5">
        <f>-M6/M14</f>
        <v>-1.3000000000000001E-2</v>
      </c>
      <c r="N15" s="5" t="s">
        <v>25</v>
      </c>
    </row>
    <row r="16" spans="1:14" ht="15.75" customHeight="1">
      <c r="A16" s="11">
        <v>12</v>
      </c>
      <c r="B16" s="11" t="s">
        <v>67</v>
      </c>
      <c r="C16" s="11" t="s">
        <v>68</v>
      </c>
      <c r="D16" s="11"/>
      <c r="E16" s="11">
        <v>1.2</v>
      </c>
      <c r="F16" s="11"/>
      <c r="G16" s="8"/>
      <c r="H16" s="40"/>
      <c r="I16" s="5">
        <v>12</v>
      </c>
      <c r="J16" s="5" t="s">
        <v>69</v>
      </c>
      <c r="K16" s="5" t="s">
        <v>70</v>
      </c>
      <c r="L16" s="5" t="s">
        <v>71</v>
      </c>
      <c r="M16" s="5">
        <f>(E6+E7)*(E14*E17+M15)</f>
        <v>26440.134000000005</v>
      </c>
      <c r="N16" s="5" t="s">
        <v>31</v>
      </c>
    </row>
    <row r="17" spans="1:14" ht="15.75" customHeight="1">
      <c r="A17" s="11">
        <v>13</v>
      </c>
      <c r="B17" s="11" t="s">
        <v>72</v>
      </c>
      <c r="C17" s="11" t="s">
        <v>73</v>
      </c>
      <c r="D17" s="11"/>
      <c r="E17" s="11">
        <v>9.81</v>
      </c>
      <c r="F17" s="11" t="s">
        <v>25</v>
      </c>
      <c r="G17" s="8"/>
      <c r="H17" s="40"/>
      <c r="I17" s="5">
        <v>13</v>
      </c>
      <c r="J17" s="5" t="s">
        <v>74</v>
      </c>
      <c r="K17" s="5" t="s">
        <v>75</v>
      </c>
      <c r="L17" s="5" t="s">
        <v>76</v>
      </c>
      <c r="M17" s="5">
        <f>-1/2*M15*M14</f>
        <v>6.5000000000000002E-2</v>
      </c>
      <c r="N17" s="5" t="s">
        <v>19</v>
      </c>
    </row>
    <row r="18" spans="1:14" ht="15.75" customHeight="1">
      <c r="A18" s="12">
        <v>14</v>
      </c>
      <c r="B18" s="12" t="s">
        <v>77</v>
      </c>
      <c r="C18" s="12" t="s">
        <v>78</v>
      </c>
      <c r="D18" s="12" t="s">
        <v>79</v>
      </c>
      <c r="E18" s="22">
        <f>(E6+E7)*(E14*E17+E10)</f>
        <v>33399.492000000006</v>
      </c>
      <c r="F18" s="12" t="s">
        <v>31</v>
      </c>
      <c r="G18" s="8"/>
      <c r="H18" s="40"/>
      <c r="I18" s="5">
        <v>14</v>
      </c>
      <c r="J18" s="5" t="s">
        <v>80</v>
      </c>
      <c r="K18" s="5" t="s">
        <v>81</v>
      </c>
      <c r="L18" s="5" t="s">
        <v>82</v>
      </c>
      <c r="M18" s="5">
        <f>M16*M17</f>
        <v>1718.6087100000004</v>
      </c>
      <c r="N18" s="5" t="s">
        <v>42</v>
      </c>
    </row>
    <row r="19" spans="1:14" ht="15.75" customHeight="1">
      <c r="A19" s="12">
        <v>15</v>
      </c>
      <c r="B19" s="12" t="s">
        <v>83</v>
      </c>
      <c r="C19" s="12" t="s">
        <v>84</v>
      </c>
      <c r="D19" s="12" t="s">
        <v>85</v>
      </c>
      <c r="E19" s="22">
        <f>E18*E12/2</f>
        <v>4174.9365000000007</v>
      </c>
      <c r="F19" s="12" t="s">
        <v>86</v>
      </c>
      <c r="G19" s="4"/>
      <c r="H19" s="13"/>
      <c r="I19" s="14">
        <v>15</v>
      </c>
      <c r="J19" s="14" t="s">
        <v>87</v>
      </c>
      <c r="K19" s="14" t="s">
        <v>88</v>
      </c>
      <c r="L19" s="14"/>
      <c r="M19" s="15">
        <v>30</v>
      </c>
      <c r="N19" s="14" t="s">
        <v>13</v>
      </c>
    </row>
    <row r="20" spans="1:14" ht="15.75" customHeight="1">
      <c r="A20" s="12">
        <v>16</v>
      </c>
      <c r="B20" s="12" t="s">
        <v>89</v>
      </c>
      <c r="C20" s="12" t="s">
        <v>90</v>
      </c>
      <c r="D20" s="12" t="s">
        <v>91</v>
      </c>
      <c r="E20" s="22">
        <f>E16*E19/(E15*E13)</f>
        <v>69.58227500000001</v>
      </c>
      <c r="F20" s="12" t="s">
        <v>86</v>
      </c>
      <c r="G20" s="4"/>
      <c r="H20" s="42" t="s">
        <v>92</v>
      </c>
      <c r="I20" s="9">
        <v>16</v>
      </c>
      <c r="J20" s="9" t="s">
        <v>11</v>
      </c>
      <c r="K20" s="9" t="s">
        <v>93</v>
      </c>
      <c r="L20" s="9"/>
      <c r="M20" s="16">
        <v>2</v>
      </c>
      <c r="N20" s="9" t="s">
        <v>13</v>
      </c>
    </row>
    <row r="21" spans="1:14" ht="15.75" customHeight="1">
      <c r="A21" s="12">
        <v>17</v>
      </c>
      <c r="B21" s="12" t="s">
        <v>94</v>
      </c>
      <c r="C21" s="12" t="s">
        <v>95</v>
      </c>
      <c r="D21" s="12" t="s">
        <v>96</v>
      </c>
      <c r="E21" s="22">
        <f>2*E9/E12</f>
        <v>1.04</v>
      </c>
      <c r="F21" s="12" t="s">
        <v>97</v>
      </c>
      <c r="G21" s="4"/>
      <c r="H21" s="40"/>
      <c r="I21" s="9">
        <v>17</v>
      </c>
      <c r="J21" s="9" t="s">
        <v>17</v>
      </c>
      <c r="K21" s="9" t="s">
        <v>18</v>
      </c>
      <c r="L21" s="9"/>
      <c r="M21" s="16">
        <v>0.13</v>
      </c>
      <c r="N21" s="9" t="s">
        <v>19</v>
      </c>
    </row>
    <row r="22" spans="1:14" ht="15.75" customHeight="1">
      <c r="A22" s="12">
        <v>18</v>
      </c>
      <c r="B22" s="12" t="s">
        <v>98</v>
      </c>
      <c r="C22" s="12" t="s">
        <v>99</v>
      </c>
      <c r="D22" s="12" t="s">
        <v>100</v>
      </c>
      <c r="E22" s="22">
        <f>60*E21/(2*3.14)</f>
        <v>9.9363057324840778</v>
      </c>
      <c r="F22" s="12" t="s">
        <v>101</v>
      </c>
      <c r="G22" s="4"/>
      <c r="H22" s="40"/>
      <c r="I22" s="9">
        <v>18</v>
      </c>
      <c r="J22" s="9" t="s">
        <v>22</v>
      </c>
      <c r="K22" s="9" t="s">
        <v>102</v>
      </c>
      <c r="L22" s="9" t="s">
        <v>103</v>
      </c>
      <c r="M22" s="16">
        <f>M21/M20</f>
        <v>6.5000000000000002E-2</v>
      </c>
      <c r="N22" s="9" t="s">
        <v>25</v>
      </c>
    </row>
    <row r="23" spans="1:14" ht="15.75" customHeight="1">
      <c r="A23" s="12">
        <v>19</v>
      </c>
      <c r="B23" s="12" t="s">
        <v>104</v>
      </c>
      <c r="C23" s="12" t="s">
        <v>105</v>
      </c>
      <c r="D23" s="12" t="s">
        <v>106</v>
      </c>
      <c r="E23" s="22">
        <f>E22*E13</f>
        <v>745.22292993630583</v>
      </c>
      <c r="F23" s="12" t="s">
        <v>101</v>
      </c>
      <c r="G23" s="4"/>
      <c r="H23" s="40"/>
      <c r="I23" s="9">
        <v>19</v>
      </c>
      <c r="J23" s="9" t="s">
        <v>28</v>
      </c>
      <c r="K23" s="9" t="s">
        <v>107</v>
      </c>
      <c r="L23" s="9" t="s">
        <v>108</v>
      </c>
      <c r="M23" s="16">
        <f>E7*(E14*E17+M22)</f>
        <v>472.29100000000005</v>
      </c>
      <c r="N23" s="9" t="s">
        <v>31</v>
      </c>
    </row>
    <row r="24" spans="1:14" ht="15.75" customHeight="1">
      <c r="A24" s="12">
        <v>20</v>
      </c>
      <c r="B24" s="12" t="s">
        <v>109</v>
      </c>
      <c r="C24" s="12" t="s">
        <v>110</v>
      </c>
      <c r="D24" s="12" t="s">
        <v>111</v>
      </c>
      <c r="E24" s="22">
        <f>(2*3.14/60)*(E20*E23/E15)</f>
        <v>5653.559843750003</v>
      </c>
      <c r="F24" s="12" t="s">
        <v>42</v>
      </c>
      <c r="G24" s="4"/>
      <c r="H24" s="40"/>
      <c r="I24" s="9">
        <v>20</v>
      </c>
      <c r="J24" s="9" t="s">
        <v>34</v>
      </c>
      <c r="K24" s="9" t="s">
        <v>112</v>
      </c>
      <c r="L24" s="9" t="s">
        <v>113</v>
      </c>
      <c r="M24" s="16">
        <f>1/2*M22*M20</f>
        <v>6.5000000000000002E-2</v>
      </c>
      <c r="N24" s="9" t="s">
        <v>19</v>
      </c>
    </row>
    <row r="25" spans="1:14" ht="15.75" customHeight="1">
      <c r="A25" s="3"/>
      <c r="B25" s="3"/>
      <c r="C25" s="3"/>
      <c r="D25" s="3"/>
      <c r="E25" s="3"/>
      <c r="F25" s="3"/>
      <c r="G25" s="4"/>
      <c r="H25" s="40"/>
      <c r="I25" s="9">
        <v>21</v>
      </c>
      <c r="J25" s="9" t="s">
        <v>39</v>
      </c>
      <c r="K25" s="9" t="s">
        <v>115</v>
      </c>
      <c r="L25" s="9" t="s">
        <v>116</v>
      </c>
      <c r="M25" s="16">
        <f>M23*M24</f>
        <v>30.698915000000003</v>
      </c>
      <c r="N25" s="9" t="s">
        <v>42</v>
      </c>
    </row>
    <row r="26" spans="1:14" ht="15.75" customHeight="1">
      <c r="A26" s="3"/>
      <c r="B26" s="17" t="s">
        <v>118</v>
      </c>
      <c r="C26" s="17" t="s">
        <v>120</v>
      </c>
      <c r="D26" s="37">
        <f>MAX(E24, M38)</f>
        <v>5653.559843750003</v>
      </c>
      <c r="E26" s="17" t="s">
        <v>42</v>
      </c>
      <c r="F26" s="3"/>
      <c r="G26" s="4"/>
      <c r="H26" s="40"/>
      <c r="I26" s="10">
        <v>22</v>
      </c>
      <c r="J26" s="10" t="s">
        <v>46</v>
      </c>
      <c r="K26" s="10" t="s">
        <v>123</v>
      </c>
      <c r="L26" s="10"/>
      <c r="M26" s="19">
        <v>80</v>
      </c>
      <c r="N26" s="10" t="s">
        <v>13</v>
      </c>
    </row>
    <row r="27" spans="1:14" ht="15.75" customHeight="1">
      <c r="A27" s="3"/>
      <c r="B27" s="17" t="s">
        <v>236</v>
      </c>
      <c r="C27" s="17" t="s">
        <v>129</v>
      </c>
      <c r="D27" s="37">
        <f>E23</f>
        <v>745.22292993630583</v>
      </c>
      <c r="E27" s="17" t="s">
        <v>101</v>
      </c>
      <c r="F27" s="3"/>
      <c r="G27" s="4"/>
      <c r="H27" s="40"/>
      <c r="I27" s="10">
        <v>23</v>
      </c>
      <c r="J27" s="10" t="s">
        <v>50</v>
      </c>
      <c r="K27" s="10" t="s">
        <v>51</v>
      </c>
      <c r="L27" s="10" t="s">
        <v>132</v>
      </c>
      <c r="M27" s="19">
        <f>E7*(E14*E17)</f>
        <v>457.14600000000007</v>
      </c>
      <c r="N27" s="10" t="s">
        <v>31</v>
      </c>
    </row>
    <row r="28" spans="1:14" ht="15.75" customHeight="1">
      <c r="A28" s="3"/>
      <c r="B28" s="17"/>
      <c r="C28" s="17" t="s">
        <v>136</v>
      </c>
      <c r="D28" s="37">
        <f>E20</f>
        <v>69.58227500000001</v>
      </c>
      <c r="E28" s="17" t="s">
        <v>86</v>
      </c>
      <c r="F28" s="3"/>
      <c r="G28" s="4"/>
      <c r="H28" s="40"/>
      <c r="I28" s="10">
        <v>24</v>
      </c>
      <c r="J28" s="10" t="s">
        <v>55</v>
      </c>
      <c r="K28" s="10" t="s">
        <v>139</v>
      </c>
      <c r="L28" s="10" t="s">
        <v>140</v>
      </c>
      <c r="M28" s="19">
        <f>M27*M21</f>
        <v>59.42898000000001</v>
      </c>
      <c r="N28" s="10" t="s">
        <v>42</v>
      </c>
    </row>
    <row r="29" spans="1:14" ht="15.75" customHeight="1">
      <c r="A29" s="4"/>
      <c r="B29" s="4"/>
      <c r="C29" s="4"/>
      <c r="D29" s="4"/>
      <c r="E29" s="4"/>
      <c r="F29" s="4"/>
      <c r="G29" s="4"/>
      <c r="H29" s="40"/>
      <c r="I29" s="5">
        <v>25</v>
      </c>
      <c r="J29" s="5" t="s">
        <v>60</v>
      </c>
      <c r="K29" s="5" t="s">
        <v>144</v>
      </c>
      <c r="L29" s="5"/>
      <c r="M29" s="21">
        <v>5</v>
      </c>
      <c r="N29" s="5" t="s">
        <v>13</v>
      </c>
    </row>
    <row r="30" spans="1:14" ht="15.75" customHeight="1">
      <c r="A30" s="4"/>
      <c r="B30" s="4"/>
      <c r="C30" s="4"/>
      <c r="D30" s="4"/>
      <c r="E30" s="4"/>
      <c r="F30" s="4"/>
      <c r="G30" s="4"/>
      <c r="H30" s="40"/>
      <c r="I30" s="5">
        <v>26</v>
      </c>
      <c r="J30" s="5" t="s">
        <v>64</v>
      </c>
      <c r="K30" s="5" t="s">
        <v>145</v>
      </c>
      <c r="L30" s="5" t="s">
        <v>146</v>
      </c>
      <c r="M30" s="21">
        <f>-M21/M29</f>
        <v>-2.6000000000000002E-2</v>
      </c>
      <c r="N30" s="5" t="s">
        <v>25</v>
      </c>
    </row>
    <row r="31" spans="1:14" ht="15.75" customHeight="1">
      <c r="A31" s="43" t="s">
        <v>147</v>
      </c>
      <c r="B31" s="44"/>
      <c r="C31" s="44"/>
      <c r="D31" s="45"/>
      <c r="E31" s="23"/>
      <c r="F31" s="4"/>
      <c r="G31" s="4"/>
      <c r="H31" s="40"/>
      <c r="I31" s="5">
        <v>27</v>
      </c>
      <c r="J31" s="5" t="s">
        <v>69</v>
      </c>
      <c r="K31" s="5" t="s">
        <v>70</v>
      </c>
      <c r="L31" s="5" t="s">
        <v>151</v>
      </c>
      <c r="M31" s="21">
        <f>E7*(E14*E17+M30)</f>
        <v>451.08800000000002</v>
      </c>
      <c r="N31" s="5" t="s">
        <v>31</v>
      </c>
    </row>
    <row r="32" spans="1:14" ht="15.75" customHeight="1">
      <c r="A32" s="24" t="s">
        <v>2</v>
      </c>
      <c r="B32" s="24" t="s">
        <v>3</v>
      </c>
      <c r="C32" s="24" t="s">
        <v>6</v>
      </c>
      <c r="D32" s="24" t="s">
        <v>7</v>
      </c>
      <c r="E32" s="25" t="s">
        <v>155</v>
      </c>
      <c r="F32" s="4"/>
      <c r="G32" s="4"/>
      <c r="H32" s="40"/>
      <c r="I32" s="5">
        <v>28</v>
      </c>
      <c r="J32" s="5" t="s">
        <v>74</v>
      </c>
      <c r="K32" s="5" t="s">
        <v>156</v>
      </c>
      <c r="L32" s="5" t="s">
        <v>157</v>
      </c>
      <c r="M32" s="21">
        <f>-1/2*M30*M29</f>
        <v>6.5000000000000002E-2</v>
      </c>
      <c r="N32" s="5" t="s">
        <v>19</v>
      </c>
    </row>
    <row r="33" spans="1:14" ht="15.75" customHeight="1">
      <c r="A33" s="26"/>
      <c r="B33" s="26"/>
      <c r="C33" s="27"/>
      <c r="D33" s="26"/>
      <c r="E33" s="26"/>
      <c r="F33" s="4"/>
      <c r="G33" s="4"/>
      <c r="H33" s="40"/>
      <c r="I33" s="5">
        <v>29</v>
      </c>
      <c r="J33" s="5" t="s">
        <v>80</v>
      </c>
      <c r="K33" s="5" t="s">
        <v>161</v>
      </c>
      <c r="L33" s="5" t="s">
        <v>162</v>
      </c>
      <c r="M33" s="21">
        <f>M31*M32</f>
        <v>29.320720000000001</v>
      </c>
      <c r="N33" s="5" t="s">
        <v>42</v>
      </c>
    </row>
    <row r="34" spans="1:14" ht="15.75" customHeight="1">
      <c r="A34" s="24">
        <v>1</v>
      </c>
      <c r="B34" s="24" t="s">
        <v>119</v>
      </c>
      <c r="C34" s="24">
        <v>11</v>
      </c>
      <c r="D34" s="24" t="s">
        <v>122</v>
      </c>
      <c r="E34" s="24" t="s">
        <v>163</v>
      </c>
      <c r="F34" s="4"/>
      <c r="G34" s="4"/>
      <c r="H34" s="13"/>
      <c r="I34" s="28">
        <v>30</v>
      </c>
      <c r="J34" s="28" t="s">
        <v>164</v>
      </c>
      <c r="K34" s="28" t="s">
        <v>165</v>
      </c>
      <c r="L34" s="28" t="s">
        <v>166</v>
      </c>
      <c r="M34" s="29">
        <f>SQRT((M10^2*M5+M13^2*M11+M18^2*M14+M25^2*M20+M28^2*M26+M33^2*M29)/(M5+M11+M14+M20+M26+M29))</f>
        <v>2356.5220308327939</v>
      </c>
      <c r="N34" s="28" t="s">
        <v>42</v>
      </c>
    </row>
    <row r="35" spans="1:14" ht="15.75" customHeight="1">
      <c r="A35" s="24">
        <v>2</v>
      </c>
      <c r="B35" s="24" t="s">
        <v>168</v>
      </c>
      <c r="C35" s="24">
        <v>400</v>
      </c>
      <c r="D35" s="24" t="s">
        <v>170</v>
      </c>
      <c r="E35" s="24" t="s">
        <v>171</v>
      </c>
      <c r="H35" s="31"/>
      <c r="I35" s="32">
        <v>31</v>
      </c>
      <c r="J35" s="32" t="s">
        <v>172</v>
      </c>
      <c r="K35" s="32" t="s">
        <v>173</v>
      </c>
      <c r="L35" s="32" t="s">
        <v>174</v>
      </c>
      <c r="M35" s="32">
        <f>2*M21*E13/E12</f>
        <v>78</v>
      </c>
      <c r="N35" s="32" t="s">
        <v>97</v>
      </c>
    </row>
    <row r="36" spans="1:14" ht="15.75" customHeight="1">
      <c r="A36" s="24">
        <v>3</v>
      </c>
      <c r="B36" s="24" t="s">
        <v>148</v>
      </c>
      <c r="C36" s="24">
        <v>1183</v>
      </c>
      <c r="D36" s="24" t="s">
        <v>177</v>
      </c>
      <c r="E36" s="24" t="s">
        <v>178</v>
      </c>
      <c r="H36" s="31"/>
      <c r="I36" s="32">
        <v>31</v>
      </c>
      <c r="J36" s="33" t="s">
        <v>179</v>
      </c>
      <c r="K36" s="32" t="s">
        <v>181</v>
      </c>
      <c r="L36" s="32" t="s">
        <v>182</v>
      </c>
      <c r="M36" s="32">
        <f>M34/M35</f>
        <v>30.211820908112742</v>
      </c>
      <c r="N36" s="32" t="s">
        <v>86</v>
      </c>
    </row>
    <row r="37" spans="1:14" ht="16.5">
      <c r="A37" s="24">
        <v>4</v>
      </c>
      <c r="B37" s="24" t="s">
        <v>183</v>
      </c>
      <c r="C37" s="24">
        <v>91.7</v>
      </c>
      <c r="D37" s="24" t="s">
        <v>184</v>
      </c>
      <c r="E37" s="24" t="s">
        <v>63</v>
      </c>
      <c r="H37" s="31"/>
      <c r="I37" s="32">
        <v>32</v>
      </c>
      <c r="J37" s="32" t="s">
        <v>185</v>
      </c>
      <c r="K37" s="32" t="s">
        <v>186</v>
      </c>
      <c r="L37" s="33" t="s">
        <v>187</v>
      </c>
      <c r="M37" s="32">
        <f>M8*E12/(2*E15*E13)</f>
        <v>47.740072916666669</v>
      </c>
      <c r="N37" s="32" t="s">
        <v>86</v>
      </c>
    </row>
    <row r="38" spans="1:14" ht="16.5">
      <c r="A38" s="24">
        <v>5</v>
      </c>
      <c r="B38" s="24" t="s">
        <v>190</v>
      </c>
      <c r="C38" s="24">
        <v>91.8</v>
      </c>
      <c r="D38" s="24" t="s">
        <v>184</v>
      </c>
      <c r="E38" s="26"/>
      <c r="H38" s="31"/>
      <c r="I38" s="32">
        <v>33</v>
      </c>
      <c r="J38" s="34" t="s">
        <v>191</v>
      </c>
      <c r="K38" s="34" t="s">
        <v>192</v>
      </c>
      <c r="L38" s="34" t="s">
        <v>193</v>
      </c>
      <c r="M38" s="35">
        <f>M34*E16/E15</f>
        <v>2945.6525385409923</v>
      </c>
      <c r="N38" s="34" t="s">
        <v>42</v>
      </c>
    </row>
    <row r="39" spans="1:14" ht="16.5">
      <c r="A39" s="24"/>
      <c r="B39" s="24" t="s">
        <v>195</v>
      </c>
      <c r="C39" s="24">
        <v>90.5</v>
      </c>
      <c r="D39" s="24" t="s">
        <v>184</v>
      </c>
      <c r="E39" s="24"/>
    </row>
    <row r="40" spans="1:14" ht="16.5">
      <c r="A40" s="24">
        <v>6</v>
      </c>
      <c r="B40" s="24" t="s">
        <v>197</v>
      </c>
      <c r="C40" s="24">
        <v>0.73</v>
      </c>
      <c r="D40" s="26"/>
      <c r="E40" s="24" t="s">
        <v>198</v>
      </c>
    </row>
    <row r="41" spans="1:14" ht="16.5">
      <c r="A41" s="24">
        <v>7</v>
      </c>
      <c r="B41" s="24" t="s">
        <v>199</v>
      </c>
      <c r="C41" s="24">
        <v>20.6</v>
      </c>
      <c r="D41" s="24" t="s">
        <v>180</v>
      </c>
      <c r="E41" s="24" t="s">
        <v>200</v>
      </c>
    </row>
    <row r="42" spans="1:14" ht="16.5">
      <c r="A42" s="24">
        <v>8</v>
      </c>
      <c r="B42" s="24" t="s">
        <v>201</v>
      </c>
      <c r="C42" s="24">
        <f>C41*9.4</f>
        <v>193.64000000000001</v>
      </c>
      <c r="D42" s="24" t="s">
        <v>180</v>
      </c>
      <c r="E42" s="24" t="s">
        <v>202</v>
      </c>
    </row>
    <row r="43" spans="1:14" ht="16.5">
      <c r="A43" s="24">
        <v>9</v>
      </c>
      <c r="B43" s="24" t="s">
        <v>205</v>
      </c>
      <c r="C43" s="24">
        <v>88.7</v>
      </c>
      <c r="D43" s="24" t="s">
        <v>86</v>
      </c>
      <c r="E43" s="24" t="s">
        <v>208</v>
      </c>
    </row>
    <row r="44" spans="1:14" ht="16.5">
      <c r="A44" s="24">
        <v>10</v>
      </c>
      <c r="B44" s="24" t="s">
        <v>207</v>
      </c>
      <c r="C44" s="24">
        <f>C43*2.3</f>
        <v>204.01</v>
      </c>
      <c r="D44" s="24" t="s">
        <v>86</v>
      </c>
      <c r="E44" s="24" t="s">
        <v>252</v>
      </c>
    </row>
    <row r="45" spans="1:14" ht="16.5">
      <c r="A45" s="24">
        <v>11</v>
      </c>
      <c r="B45" s="24" t="s">
        <v>209</v>
      </c>
      <c r="C45" s="24">
        <f>C43*4.4</f>
        <v>390.28000000000003</v>
      </c>
      <c r="D45" s="24" t="s">
        <v>86</v>
      </c>
      <c r="E45" s="24" t="s">
        <v>255</v>
      </c>
    </row>
    <row r="46" spans="1:14" ht="16.5">
      <c r="A46" s="24">
        <v>12</v>
      </c>
      <c r="B46" s="24" t="s">
        <v>133</v>
      </c>
      <c r="C46" s="24">
        <v>50</v>
      </c>
      <c r="D46" s="24" t="s">
        <v>135</v>
      </c>
      <c r="E46" s="26"/>
    </row>
    <row r="47" spans="1:14" ht="16.5">
      <c r="A47" s="24">
        <v>13</v>
      </c>
      <c r="B47" s="24" t="s">
        <v>213</v>
      </c>
      <c r="C47" s="24">
        <v>3</v>
      </c>
      <c r="D47" s="24" t="s">
        <v>214</v>
      </c>
      <c r="E47" s="26"/>
    </row>
    <row r="48" spans="1:14" ht="16.5">
      <c r="A48" s="24">
        <v>14</v>
      </c>
      <c r="B48" s="24" t="s">
        <v>215</v>
      </c>
      <c r="C48" s="24">
        <v>0.13100000000000001</v>
      </c>
      <c r="D48" s="24" t="s">
        <v>216</v>
      </c>
      <c r="E48" s="24" t="s">
        <v>217</v>
      </c>
    </row>
    <row r="49" spans="1:16" ht="16.5">
      <c r="A49" s="24">
        <v>15</v>
      </c>
      <c r="B49" s="24" t="s">
        <v>218</v>
      </c>
      <c r="C49" s="24">
        <v>139</v>
      </c>
      <c r="D49" s="24" t="s">
        <v>219</v>
      </c>
      <c r="E49" s="26"/>
    </row>
    <row r="54" spans="1:16" ht="12.75">
      <c r="M54" s="1" t="s">
        <v>220</v>
      </c>
      <c r="N54" s="36">
        <v>114</v>
      </c>
      <c r="O54" s="1">
        <v>125</v>
      </c>
      <c r="P54" s="1">
        <v>59</v>
      </c>
    </row>
  </sheetData>
  <mergeCells count="4">
    <mergeCell ref="B3:D3"/>
    <mergeCell ref="H5:H18"/>
    <mergeCell ref="H20:H33"/>
    <mergeCell ref="A31:D31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0"/>
  <sheetViews>
    <sheetView workbookViewId="0">
      <selection sqref="A1:G1"/>
    </sheetView>
  </sheetViews>
  <sheetFormatPr defaultColWidth="12.5703125" defaultRowHeight="15.75" customHeight="1"/>
  <cols>
    <col min="1" max="1" width="22.140625" customWidth="1"/>
    <col min="2" max="10" width="8.5703125" customWidth="1"/>
    <col min="11" max="11" width="20" customWidth="1"/>
    <col min="12" max="26" width="8.5703125" customWidth="1"/>
  </cols>
  <sheetData>
    <row r="1" spans="1:17" ht="14.25" customHeight="1">
      <c r="A1" s="46" t="s">
        <v>114</v>
      </c>
      <c r="B1" s="40"/>
      <c r="C1" s="40"/>
      <c r="D1" s="40"/>
      <c r="E1" s="40"/>
      <c r="F1" s="40"/>
      <c r="G1" s="40"/>
      <c r="K1" s="46" t="s">
        <v>117</v>
      </c>
      <c r="L1" s="40"/>
      <c r="M1" s="40"/>
      <c r="N1" s="40"/>
      <c r="O1" s="40"/>
      <c r="P1" s="40"/>
      <c r="Q1" s="40"/>
    </row>
    <row r="2" spans="1:17" ht="14.25" customHeight="1">
      <c r="A2" s="1" t="s">
        <v>119</v>
      </c>
      <c r="B2" s="1" t="s">
        <v>121</v>
      </c>
      <c r="C2" s="1">
        <v>5.5</v>
      </c>
      <c r="D2" s="1" t="s">
        <v>122</v>
      </c>
      <c r="K2" s="1" t="s">
        <v>119</v>
      </c>
      <c r="L2" s="1" t="s">
        <v>121</v>
      </c>
      <c r="M2" s="1">
        <v>11</v>
      </c>
      <c r="N2" s="1" t="s">
        <v>122</v>
      </c>
    </row>
    <row r="3" spans="1:17" ht="14.25" customHeight="1">
      <c r="A3" s="1" t="s">
        <v>124</v>
      </c>
      <c r="B3" s="1" t="s">
        <v>125</v>
      </c>
      <c r="C3" s="1">
        <v>230</v>
      </c>
      <c r="D3" s="1" t="s">
        <v>126</v>
      </c>
      <c r="K3" s="1" t="s">
        <v>124</v>
      </c>
      <c r="L3" s="1" t="s">
        <v>125</v>
      </c>
      <c r="M3" s="1">
        <v>230</v>
      </c>
      <c r="N3" s="1" t="s">
        <v>126</v>
      </c>
    </row>
    <row r="4" spans="1:17" ht="14.25" customHeight="1">
      <c r="A4" s="1" t="s">
        <v>128</v>
      </c>
      <c r="B4" s="1" t="s">
        <v>130</v>
      </c>
      <c r="C4" s="1">
        <v>12</v>
      </c>
      <c r="D4" s="1" t="s">
        <v>131</v>
      </c>
      <c r="K4" s="1" t="s">
        <v>128</v>
      </c>
      <c r="L4" s="1" t="s">
        <v>130</v>
      </c>
      <c r="M4" s="1">
        <v>20.399999999999999</v>
      </c>
      <c r="N4" s="1" t="s">
        <v>131</v>
      </c>
    </row>
    <row r="5" spans="1:17" ht="14.25" customHeight="1">
      <c r="A5" s="1" t="s">
        <v>133</v>
      </c>
      <c r="B5" s="1" t="s">
        <v>134</v>
      </c>
      <c r="C5" s="1">
        <v>50</v>
      </c>
      <c r="D5" s="1" t="s">
        <v>135</v>
      </c>
      <c r="K5" s="1" t="s">
        <v>133</v>
      </c>
      <c r="L5" s="1" t="s">
        <v>134</v>
      </c>
      <c r="M5" s="1">
        <v>50</v>
      </c>
      <c r="N5" s="1" t="s">
        <v>135</v>
      </c>
    </row>
    <row r="6" spans="1:17" ht="14.25" customHeight="1">
      <c r="A6" s="1" t="s">
        <v>137</v>
      </c>
      <c r="B6" s="1" t="s">
        <v>138</v>
      </c>
      <c r="C6" s="20">
        <v>53.9</v>
      </c>
      <c r="D6" s="1" t="s">
        <v>86</v>
      </c>
      <c r="K6" s="1" t="s">
        <v>137</v>
      </c>
      <c r="L6" s="1" t="s">
        <v>138</v>
      </c>
      <c r="M6" s="20">
        <v>71.3</v>
      </c>
      <c r="N6" s="1" t="s">
        <v>86</v>
      </c>
    </row>
    <row r="7" spans="1:17" ht="14.25" customHeight="1">
      <c r="A7" s="1" t="s">
        <v>141</v>
      </c>
      <c r="B7" s="1" t="s">
        <v>142</v>
      </c>
      <c r="C7" s="1">
        <v>0.74</v>
      </c>
      <c r="F7" s="1" t="s">
        <v>143</v>
      </c>
      <c r="G7" s="1">
        <f>ACOS(C7)</f>
        <v>0.73772596845324878</v>
      </c>
      <c r="K7" s="1" t="s">
        <v>141</v>
      </c>
      <c r="L7" s="1" t="s">
        <v>142</v>
      </c>
      <c r="M7" s="1">
        <v>0.84</v>
      </c>
      <c r="P7" s="1" t="s">
        <v>143</v>
      </c>
      <c r="Q7" s="1">
        <f>ACOS(M7)</f>
        <v>0.57351310442309666</v>
      </c>
    </row>
    <row r="8" spans="1:17" ht="14.25" customHeight="1">
      <c r="A8" s="1" t="s">
        <v>148</v>
      </c>
      <c r="B8" s="1" t="s">
        <v>99</v>
      </c>
      <c r="C8" s="1">
        <v>973</v>
      </c>
      <c r="D8" s="1" t="s">
        <v>149</v>
      </c>
      <c r="K8" s="1" t="s">
        <v>148</v>
      </c>
      <c r="L8" s="1" t="s">
        <v>99</v>
      </c>
      <c r="M8" s="1">
        <v>1473</v>
      </c>
      <c r="N8" s="1" t="s">
        <v>149</v>
      </c>
    </row>
    <row r="9" spans="1:17" ht="14.25" customHeight="1">
      <c r="A9" s="1" t="s">
        <v>150</v>
      </c>
      <c r="B9" s="1" t="s">
        <v>152</v>
      </c>
      <c r="C9" s="1">
        <v>3</v>
      </c>
      <c r="K9" s="1" t="s">
        <v>150</v>
      </c>
      <c r="L9" s="1" t="s">
        <v>152</v>
      </c>
      <c r="M9" s="1">
        <v>2</v>
      </c>
    </row>
    <row r="10" spans="1:17" ht="14.25" customHeight="1"/>
    <row r="11" spans="1:17" ht="14.25" customHeight="1">
      <c r="A11" s="1" t="s">
        <v>153</v>
      </c>
      <c r="B11" s="1" t="s">
        <v>154</v>
      </c>
      <c r="C11" s="1">
        <f>C3/C4</f>
        <v>19.166666666666668</v>
      </c>
      <c r="D11" s="1" t="s">
        <v>158</v>
      </c>
      <c r="K11" s="1" t="s">
        <v>153</v>
      </c>
      <c r="L11" s="1" t="s">
        <v>154</v>
      </c>
      <c r="M11" s="1">
        <f>M3/M4</f>
        <v>11.274509803921569</v>
      </c>
      <c r="N11" s="1" t="s">
        <v>158</v>
      </c>
    </row>
    <row r="12" spans="1:17" ht="14.25" customHeight="1">
      <c r="A12" s="1" t="s">
        <v>159</v>
      </c>
      <c r="B12" s="1" t="s">
        <v>160</v>
      </c>
      <c r="C12" s="1">
        <f>(1000-C8)/1000</f>
        <v>2.7E-2</v>
      </c>
      <c r="K12" s="1" t="s">
        <v>159</v>
      </c>
      <c r="L12" s="1" t="s">
        <v>160</v>
      </c>
      <c r="M12" s="1">
        <f>(1500-M8)/1500</f>
        <v>1.7999999999999999E-2</v>
      </c>
    </row>
    <row r="13" spans="1:17" ht="14.25" customHeight="1">
      <c r="A13" s="1" t="s">
        <v>167</v>
      </c>
      <c r="B13" s="30" t="s">
        <v>169</v>
      </c>
      <c r="C13" s="30">
        <f>C12*C11</f>
        <v>0.51750000000000007</v>
      </c>
      <c r="D13" s="1" t="s">
        <v>158</v>
      </c>
      <c r="K13" s="1" t="s">
        <v>167</v>
      </c>
      <c r="L13" s="30" t="s">
        <v>169</v>
      </c>
      <c r="M13" s="30">
        <f>M12*M11</f>
        <v>0.20294117647058824</v>
      </c>
      <c r="N13" s="1" t="s">
        <v>158</v>
      </c>
    </row>
    <row r="14" spans="1:17" ht="14.25" customHeight="1">
      <c r="A14" s="1" t="s">
        <v>175</v>
      </c>
      <c r="B14" s="1" t="s">
        <v>176</v>
      </c>
      <c r="C14" s="1">
        <f>SQRT(2)*C4*SQRT(1-C7)</f>
        <v>8.6533230611135767</v>
      </c>
      <c r="D14" s="1" t="s">
        <v>180</v>
      </c>
      <c r="F14" s="1">
        <f>C14/SQRT(2)</f>
        <v>6.1188234163113435</v>
      </c>
      <c r="G14" s="1" t="s">
        <v>131</v>
      </c>
      <c r="K14" s="1" t="s">
        <v>175</v>
      </c>
      <c r="L14" s="1" t="s">
        <v>176</v>
      </c>
      <c r="M14" s="1">
        <f>SQRT(2)*M4*SQRT(1-M7)</f>
        <v>11.539982668964456</v>
      </c>
      <c r="N14" s="1" t="s">
        <v>180</v>
      </c>
      <c r="P14" s="1">
        <f>M14/SQRT(2)</f>
        <v>8.16</v>
      </c>
      <c r="Q14" s="1" t="s">
        <v>131</v>
      </c>
    </row>
    <row r="15" spans="1:17" ht="14.25" customHeight="1">
      <c r="A15" s="1" t="s">
        <v>188</v>
      </c>
      <c r="B15" s="1" t="s">
        <v>189</v>
      </c>
      <c r="C15" s="1">
        <f>SQRT(2*C4^2-C14^2)</f>
        <v>14.598630072715725</v>
      </c>
      <c r="D15" s="1" t="s">
        <v>180</v>
      </c>
      <c r="K15" s="1" t="s">
        <v>188</v>
      </c>
      <c r="L15" s="1" t="s">
        <v>189</v>
      </c>
      <c r="M15" s="1">
        <f>SQRT(2*M4^2-M14^2)</f>
        <v>26.441422049504069</v>
      </c>
      <c r="N15" s="1" t="s">
        <v>180</v>
      </c>
    </row>
    <row r="16" spans="1:17" ht="14.25" customHeight="1">
      <c r="A16" s="1" t="s">
        <v>194</v>
      </c>
      <c r="B16" s="1" t="s">
        <v>196</v>
      </c>
      <c r="C16" s="1">
        <f>C12*2*PI()*C5</f>
        <v>8.4823001646924414</v>
      </c>
      <c r="D16" s="1" t="s">
        <v>97</v>
      </c>
      <c r="K16" s="1" t="s">
        <v>194</v>
      </c>
      <c r="L16" s="1" t="s">
        <v>196</v>
      </c>
      <c r="M16" s="1">
        <f>M12*2*PI()*M5</f>
        <v>5.6548667764616267</v>
      </c>
      <c r="N16" s="1" t="s">
        <v>97</v>
      </c>
    </row>
    <row r="17" spans="1:16" ht="14.25" customHeight="1">
      <c r="A17" s="1" t="s">
        <v>203</v>
      </c>
      <c r="B17" s="1" t="s">
        <v>204</v>
      </c>
      <c r="C17" s="1">
        <f>C15/C14/C16</f>
        <v>0.19889119128279714</v>
      </c>
      <c r="D17" s="1" t="s">
        <v>13</v>
      </c>
      <c r="K17" s="1" t="s">
        <v>203</v>
      </c>
      <c r="L17" s="1" t="s">
        <v>204</v>
      </c>
      <c r="M17" s="1">
        <f>M15/M14/M16</f>
        <v>0.40518865219166644</v>
      </c>
      <c r="N17" s="1" t="s">
        <v>13</v>
      </c>
    </row>
    <row r="18" spans="1:16" ht="14.25" customHeight="1">
      <c r="A18" s="1" t="s">
        <v>210</v>
      </c>
      <c r="B18" s="1" t="s">
        <v>211</v>
      </c>
      <c r="C18" s="1">
        <f>(SIN(G7)-COS(G7)*C14/C15)*C3/C4</f>
        <v>4.4844753094866769</v>
      </c>
      <c r="D18" s="1" t="s">
        <v>158</v>
      </c>
      <c r="K18" s="1" t="s">
        <v>210</v>
      </c>
      <c r="L18" s="1" t="s">
        <v>211</v>
      </c>
      <c r="M18" s="1">
        <f>(SIN(Q7)-COS(Q7)*M14/M15)*M3/M4</f>
        <v>1.9840921030547773</v>
      </c>
      <c r="N18" s="1" t="s">
        <v>158</v>
      </c>
    </row>
    <row r="19" spans="1:16" ht="14.25" customHeight="1">
      <c r="A19" s="1" t="s">
        <v>221</v>
      </c>
      <c r="B19" s="1" t="s">
        <v>222</v>
      </c>
      <c r="C19" s="1">
        <f>SQRT(2)*C3/C14-C18</f>
        <v>33.104450591998585</v>
      </c>
      <c r="D19" s="1" t="s">
        <v>158</v>
      </c>
      <c r="K19" s="1" t="s">
        <v>221</v>
      </c>
      <c r="L19" s="1" t="s">
        <v>222</v>
      </c>
      <c r="M19" s="1">
        <f>SQRT(2)*M3/M14-M18</f>
        <v>26.202182406749145</v>
      </c>
      <c r="N19" s="1" t="s">
        <v>158</v>
      </c>
    </row>
    <row r="20" spans="1:16" ht="14.25" customHeight="1">
      <c r="A20" s="1" t="s">
        <v>224</v>
      </c>
      <c r="B20" s="1" t="s">
        <v>225</v>
      </c>
      <c r="C20" s="1">
        <f>C19/2/PI()/C5</f>
        <v>0.10537473900115991</v>
      </c>
      <c r="D20" s="1" t="s">
        <v>226</v>
      </c>
      <c r="K20" s="1" t="s">
        <v>224</v>
      </c>
      <c r="L20" s="1" t="s">
        <v>225</v>
      </c>
      <c r="M20" s="1">
        <f>M19/2/PI()/M5</f>
        <v>8.3404136996592423E-2</v>
      </c>
      <c r="N20" s="1" t="s">
        <v>226</v>
      </c>
    </row>
    <row r="21" spans="1:16" ht="14.25" customHeight="1">
      <c r="A21" s="1" t="s">
        <v>227</v>
      </c>
      <c r="B21" s="30" t="s">
        <v>228</v>
      </c>
      <c r="C21" s="30">
        <f>C16/2/PI()/C5*C14/C15*C19</f>
        <v>0.52981099022797296</v>
      </c>
      <c r="D21" s="1" t="s">
        <v>158</v>
      </c>
      <c r="K21" s="1" t="s">
        <v>227</v>
      </c>
      <c r="L21" s="30" t="s">
        <v>228</v>
      </c>
      <c r="M21" s="30">
        <f>M16/2/PI()/M5*M14/M15*M19</f>
        <v>0.20584025871765968</v>
      </c>
      <c r="N21" s="1" t="s">
        <v>158</v>
      </c>
    </row>
    <row r="22" spans="1:16" ht="14.25" customHeight="1">
      <c r="A22" s="1" t="s">
        <v>229</v>
      </c>
      <c r="B22" s="1" t="s">
        <v>230</v>
      </c>
      <c r="C22" s="1">
        <f>C18/C19</f>
        <v>0.13546442334163322</v>
      </c>
      <c r="F22" s="1">
        <f>C18/2/PI()/C5</f>
        <v>1.4274528253567237E-2</v>
      </c>
      <c r="K22" s="1" t="s">
        <v>229</v>
      </c>
      <c r="L22" s="1" t="s">
        <v>230</v>
      </c>
      <c r="M22" s="1">
        <f>M18/M19</f>
        <v>7.5722398701556851E-2</v>
      </c>
      <c r="P22" s="1">
        <f>M18/2/PI()/M5</f>
        <v>6.3155613150152412E-3</v>
      </c>
    </row>
    <row r="23" spans="1:16" ht="14.25" customHeight="1">
      <c r="A23" s="1" t="s">
        <v>231</v>
      </c>
      <c r="B23" s="1" t="s">
        <v>208</v>
      </c>
      <c r="C23" s="1">
        <f>C20/C21</f>
        <v>0.19889119128279711</v>
      </c>
      <c r="D23" s="1" t="s">
        <v>13</v>
      </c>
      <c r="K23" s="1" t="s">
        <v>231</v>
      </c>
      <c r="L23" s="1" t="s">
        <v>208</v>
      </c>
      <c r="M23" s="1">
        <f>M20/M21</f>
        <v>0.40518865219166633</v>
      </c>
      <c r="N23" s="1" t="s">
        <v>13</v>
      </c>
    </row>
    <row r="24" spans="1:16" ht="14.25" customHeight="1">
      <c r="A24" s="1" t="s">
        <v>232</v>
      </c>
      <c r="B24" s="1" t="s">
        <v>233</v>
      </c>
      <c r="C24" s="1">
        <f>C17*C21</f>
        <v>0.10537473900115994</v>
      </c>
      <c r="D24" s="1" t="s">
        <v>226</v>
      </c>
      <c r="K24" s="1" t="s">
        <v>232</v>
      </c>
      <c r="L24" s="1" t="s">
        <v>233</v>
      </c>
      <c r="M24" s="1">
        <f>M17*M21</f>
        <v>8.3404136996592451E-2</v>
      </c>
      <c r="N24" s="1" t="s">
        <v>226</v>
      </c>
    </row>
    <row r="25" spans="1:16" ht="14.25" customHeight="1">
      <c r="A25" s="1" t="s">
        <v>234</v>
      </c>
      <c r="B25" s="30" t="s">
        <v>235</v>
      </c>
      <c r="C25" s="30">
        <f>SQRT(C20*C24*(1-C22))</f>
        <v>9.797785938914079E-2</v>
      </c>
      <c r="D25" s="1" t="s">
        <v>226</v>
      </c>
      <c r="F25" s="1">
        <f>C14*C25</f>
        <v>0.84783407013059542</v>
      </c>
      <c r="K25" s="1" t="s">
        <v>234</v>
      </c>
      <c r="L25" s="30" t="s">
        <v>235</v>
      </c>
      <c r="M25" s="30">
        <f>SQRT(M20*M24*(1-M22))</f>
        <v>8.0184201230781418E-2</v>
      </c>
      <c r="N25" s="1" t="s">
        <v>226</v>
      </c>
      <c r="P25" s="1">
        <f>M14*M25</f>
        <v>0.92532429252797599</v>
      </c>
    </row>
    <row r="26" spans="1:16" ht="14.25" customHeight="1">
      <c r="A26" s="1" t="s">
        <v>237</v>
      </c>
      <c r="B26" s="30" t="s">
        <v>238</v>
      </c>
      <c r="C26" s="30">
        <f>C20-C25</f>
        <v>7.3968796120191249E-3</v>
      </c>
      <c r="D26" s="1" t="s">
        <v>226</v>
      </c>
      <c r="K26" s="1" t="s">
        <v>237</v>
      </c>
      <c r="L26" s="30" t="s">
        <v>238</v>
      </c>
      <c r="M26" s="30">
        <f>M20-M25</f>
        <v>3.219935765811005E-3</v>
      </c>
      <c r="N26" s="1" t="s">
        <v>226</v>
      </c>
    </row>
    <row r="27" spans="1:16" ht="14.25" customHeight="1">
      <c r="A27" s="1" t="s">
        <v>239</v>
      </c>
      <c r="B27" s="30" t="s">
        <v>240</v>
      </c>
      <c r="C27" s="30">
        <f>C24-C25</f>
        <v>7.3968796120191527E-3</v>
      </c>
      <c r="D27" s="1" t="s">
        <v>226</v>
      </c>
      <c r="K27" s="1" t="s">
        <v>239</v>
      </c>
      <c r="L27" s="30" t="s">
        <v>240</v>
      </c>
      <c r="M27" s="30">
        <f>M24-M25</f>
        <v>3.2199357658110328E-3</v>
      </c>
      <c r="N27" s="1" t="s">
        <v>226</v>
      </c>
    </row>
    <row r="28" spans="1:16" ht="14.25" customHeight="1">
      <c r="A28" s="1" t="s">
        <v>241</v>
      </c>
      <c r="B28" s="1" t="s">
        <v>242</v>
      </c>
      <c r="C28" s="1">
        <f>C25*C14</f>
        <v>0.84783407013059542</v>
      </c>
      <c r="D28" s="1" t="s">
        <v>243</v>
      </c>
      <c r="K28" s="1" t="s">
        <v>241</v>
      </c>
      <c r="L28" s="1" t="s">
        <v>242</v>
      </c>
      <c r="M28" s="1">
        <f>M25*M14</f>
        <v>0.92532429252797599</v>
      </c>
      <c r="N28" s="1" t="s">
        <v>243</v>
      </c>
    </row>
    <row r="29" spans="1:16" ht="14.25" customHeight="1">
      <c r="A29" s="1" t="s">
        <v>244</v>
      </c>
      <c r="B29" s="1" t="s">
        <v>245</v>
      </c>
      <c r="C29" s="1">
        <f>C25/(C25+C27)</f>
        <v>0.9298040528296091</v>
      </c>
      <c r="K29" s="1" t="s">
        <v>244</v>
      </c>
      <c r="L29" s="1" t="s">
        <v>245</v>
      </c>
      <c r="M29" s="1">
        <f>M25/(M25+M27)</f>
        <v>0.96139357252815183</v>
      </c>
    </row>
    <row r="30" spans="1:16" ht="14.25" customHeight="1">
      <c r="A30" s="1" t="s">
        <v>246</v>
      </c>
      <c r="B30" s="1" t="s">
        <v>247</v>
      </c>
      <c r="C30" s="1">
        <f>C26+C27*C29^2</f>
        <v>1.3791745192868618E-2</v>
      </c>
      <c r="D30" s="1" t="s">
        <v>226</v>
      </c>
      <c r="K30" s="1" t="s">
        <v>246</v>
      </c>
      <c r="L30" s="1" t="s">
        <v>247</v>
      </c>
      <c r="M30" s="1">
        <f>M26+M27*M29^2</f>
        <v>6.1960502717698911E-3</v>
      </c>
      <c r="N30" s="1" t="s">
        <v>226</v>
      </c>
    </row>
    <row r="31" spans="1:16" ht="14.25" customHeight="1">
      <c r="A31" s="1" t="s">
        <v>248</v>
      </c>
      <c r="B31" s="1" t="s">
        <v>249</v>
      </c>
      <c r="C31" s="1">
        <f>C21+C13*C29^2</f>
        <v>0.97720815114867765</v>
      </c>
      <c r="D31" s="1" t="s">
        <v>158</v>
      </c>
      <c r="K31" s="1" t="s">
        <v>248</v>
      </c>
      <c r="L31" s="1" t="s">
        <v>249</v>
      </c>
      <c r="M31" s="1">
        <f>M21+M13*M29^2</f>
        <v>0.39341424251057894</v>
      </c>
      <c r="N31" s="1" t="s">
        <v>158</v>
      </c>
    </row>
    <row r="32" spans="1:16" ht="14.25" customHeight="1">
      <c r="A32" s="1" t="s">
        <v>250</v>
      </c>
      <c r="B32" s="1" t="s">
        <v>251</v>
      </c>
      <c r="C32" s="1">
        <f>2*PI()*C5</f>
        <v>314.15926535897933</v>
      </c>
      <c r="D32" s="1" t="s">
        <v>97</v>
      </c>
      <c r="K32" s="1" t="s">
        <v>250</v>
      </c>
      <c r="L32" s="1" t="s">
        <v>251</v>
      </c>
      <c r="M32" s="1">
        <f>2*PI()*M5</f>
        <v>314.15926535897933</v>
      </c>
      <c r="N32" s="1" t="s">
        <v>97</v>
      </c>
    </row>
    <row r="33" spans="1:16" ht="14.25" customHeight="1">
      <c r="A33" s="1" t="s">
        <v>253</v>
      </c>
      <c r="B33" s="1" t="s">
        <v>254</v>
      </c>
      <c r="C33" s="1">
        <f>2*PI()/60*C8*C9</f>
        <v>305.67696519428682</v>
      </c>
      <c r="D33" s="1" t="s">
        <v>97</v>
      </c>
      <c r="K33" s="1" t="s">
        <v>253</v>
      </c>
      <c r="L33" s="1" t="s">
        <v>254</v>
      </c>
      <c r="M33" s="1">
        <f>2*PI()/60*M8*M9</f>
        <v>308.50439858251769</v>
      </c>
      <c r="N33" s="1" t="s">
        <v>97</v>
      </c>
    </row>
    <row r="34" spans="1:16" ht="14.25" customHeight="1">
      <c r="A34" s="1" t="s">
        <v>256</v>
      </c>
      <c r="B34" s="1" t="s">
        <v>257</v>
      </c>
      <c r="C34" s="1">
        <f>C31*C14-C32*C30*C15-C29*C28/C17</f>
        <v>-58.760484783559853</v>
      </c>
      <c r="D34" s="1" t="s">
        <v>170</v>
      </c>
      <c r="F34" s="1">
        <f t="shared" ref="F34:F35" si="0">C34/$F$36</f>
        <v>-0.19680671109512282</v>
      </c>
      <c r="K34" s="1" t="s">
        <v>256</v>
      </c>
      <c r="L34" s="1" t="s">
        <v>257</v>
      </c>
      <c r="M34" s="1">
        <f>M31*M14-M32*M30*M15-M29*M28/M17</f>
        <v>-49.124989250147863</v>
      </c>
      <c r="N34" s="1" t="s">
        <v>170</v>
      </c>
      <c r="P34" s="1">
        <f t="shared" ref="P34:P35" si="1">M34/$F$36</f>
        <v>-0.16453450992647078</v>
      </c>
    </row>
    <row r="35" spans="1:16" ht="14.25" customHeight="1">
      <c r="A35" s="1" t="s">
        <v>258</v>
      </c>
      <c r="B35" s="1" t="s">
        <v>259</v>
      </c>
      <c r="C35" s="1">
        <f>C31*C15+C32*C30*C14+C29*C28*C33</f>
        <v>292.73018676239241</v>
      </c>
      <c r="D35" s="1" t="s">
        <v>170</v>
      </c>
      <c r="F35" s="1">
        <f t="shared" si="0"/>
        <v>0.98044230756731476</v>
      </c>
      <c r="K35" s="1" t="s">
        <v>258</v>
      </c>
      <c r="L35" s="1" t="s">
        <v>259</v>
      </c>
      <c r="M35" s="1">
        <f>M31*M15+M32*M30*M14+M29*M28*M33</f>
        <v>307.31131428943343</v>
      </c>
      <c r="N35" s="1" t="s">
        <v>170</v>
      </c>
      <c r="P35" s="1">
        <f t="shared" si="1"/>
        <v>1.0292789324390412</v>
      </c>
    </row>
    <row r="36" spans="1:16" ht="14.25" customHeight="1">
      <c r="A36" s="1" t="s">
        <v>260</v>
      </c>
      <c r="B36" s="1" t="s">
        <v>261</v>
      </c>
      <c r="C36" s="1">
        <f>SQRT(C34^2+C35^2)/SQRT(2)</f>
        <v>211.12053051982426</v>
      </c>
      <c r="D36" s="1" t="s">
        <v>170</v>
      </c>
      <c r="F36" s="1">
        <f>C36*SQRT(2)</f>
        <v>298.56951755653841</v>
      </c>
      <c r="K36" s="1" t="s">
        <v>260</v>
      </c>
      <c r="L36" s="1" t="s">
        <v>261</v>
      </c>
      <c r="M36" s="1">
        <f>SQRT(M34^2+M35^2)/SQRT(2)</f>
        <v>220.06079666665534</v>
      </c>
      <c r="N36" s="1" t="s">
        <v>170</v>
      </c>
      <c r="P36" s="1">
        <f>M36*SQRT(2)</f>
        <v>311.21296319261199</v>
      </c>
    </row>
    <row r="37" spans="1:16" ht="14.25" customHeight="1"/>
    <row r="38" spans="1:16" ht="14.25" customHeight="1"/>
    <row r="39" spans="1:16" ht="14.25" customHeight="1"/>
    <row r="40" spans="1:16" ht="14.25" customHeight="1"/>
    <row r="41" spans="1:16" ht="14.25" customHeight="1"/>
    <row r="42" spans="1:16" ht="14.25" customHeight="1"/>
    <row r="43" spans="1:16" ht="14.25" customHeight="1"/>
    <row r="44" spans="1:16" ht="14.25" customHeight="1"/>
    <row r="45" spans="1:16" ht="14.25" customHeight="1"/>
    <row r="46" spans="1:16" ht="14.25" customHeight="1"/>
    <row r="47" spans="1:16" ht="14.25" customHeight="1"/>
    <row r="48" spans="1:1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G1"/>
    <mergeCell ref="K1:Q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0"/>
  <sheetViews>
    <sheetView workbookViewId="0">
      <selection sqref="A1:G1"/>
    </sheetView>
  </sheetViews>
  <sheetFormatPr defaultColWidth="12.5703125" defaultRowHeight="15.75" customHeight="1"/>
  <cols>
    <col min="1" max="1" width="22.140625" customWidth="1"/>
    <col min="2" max="10" width="8.5703125" customWidth="1"/>
    <col min="11" max="11" width="20" customWidth="1"/>
    <col min="12" max="26" width="8.5703125" customWidth="1"/>
  </cols>
  <sheetData>
    <row r="1" spans="1:17" ht="14.25" customHeight="1">
      <c r="A1" s="46" t="s">
        <v>262</v>
      </c>
      <c r="B1" s="40"/>
      <c r="C1" s="40"/>
      <c r="D1" s="40"/>
      <c r="E1" s="40"/>
      <c r="F1" s="40"/>
      <c r="G1" s="40"/>
      <c r="K1" s="46" t="s">
        <v>117</v>
      </c>
      <c r="L1" s="40"/>
      <c r="M1" s="40"/>
      <c r="N1" s="40"/>
      <c r="O1" s="40"/>
      <c r="P1" s="40"/>
      <c r="Q1" s="40"/>
    </row>
    <row r="2" spans="1:17" ht="14.25" customHeight="1">
      <c r="A2" s="1" t="s">
        <v>119</v>
      </c>
      <c r="B2" s="1" t="s">
        <v>121</v>
      </c>
      <c r="C2" s="1">
        <v>7.5</v>
      </c>
      <c r="D2" s="1" t="s">
        <v>122</v>
      </c>
      <c r="K2" s="1" t="s">
        <v>119</v>
      </c>
      <c r="L2" s="1" t="s">
        <v>121</v>
      </c>
      <c r="M2" s="1">
        <v>11</v>
      </c>
      <c r="N2" s="1" t="s">
        <v>122</v>
      </c>
    </row>
    <row r="3" spans="1:17" ht="14.25" customHeight="1">
      <c r="A3" s="1" t="s">
        <v>124</v>
      </c>
      <c r="B3" s="1" t="s">
        <v>125</v>
      </c>
      <c r="C3" s="1">
        <f>400/SQRT(3)</f>
        <v>230.94010767585033</v>
      </c>
      <c r="D3" s="1" t="s">
        <v>126</v>
      </c>
      <c r="K3" s="1" t="s">
        <v>124</v>
      </c>
      <c r="L3" s="1" t="s">
        <v>125</v>
      </c>
      <c r="M3" s="1">
        <v>230</v>
      </c>
      <c r="N3" s="1" t="s">
        <v>126</v>
      </c>
    </row>
    <row r="4" spans="1:17" ht="14.25" customHeight="1">
      <c r="A4" s="1" t="s">
        <v>128</v>
      </c>
      <c r="B4" s="1" t="s">
        <v>130</v>
      </c>
      <c r="C4" s="1">
        <v>15.2</v>
      </c>
      <c r="D4" s="1" t="s">
        <v>131</v>
      </c>
      <c r="K4" s="1" t="s">
        <v>128</v>
      </c>
      <c r="L4" s="1" t="s">
        <v>130</v>
      </c>
      <c r="M4" s="1">
        <v>20.399999999999999</v>
      </c>
      <c r="N4" s="1" t="s">
        <v>131</v>
      </c>
    </row>
    <row r="5" spans="1:17" ht="14.25" customHeight="1">
      <c r="A5" s="1" t="s">
        <v>133</v>
      </c>
      <c r="B5" s="1" t="s">
        <v>134</v>
      </c>
      <c r="C5" s="1">
        <v>50</v>
      </c>
      <c r="D5" s="1" t="s">
        <v>135</v>
      </c>
      <c r="K5" s="1" t="s">
        <v>133</v>
      </c>
      <c r="L5" s="1" t="s">
        <v>134</v>
      </c>
      <c r="M5" s="1">
        <v>50</v>
      </c>
      <c r="N5" s="1" t="s">
        <v>135</v>
      </c>
    </row>
    <row r="6" spans="1:17" ht="14.25" customHeight="1">
      <c r="A6" s="1" t="s">
        <v>137</v>
      </c>
      <c r="B6" s="1" t="s">
        <v>138</v>
      </c>
      <c r="C6" s="20">
        <v>73</v>
      </c>
      <c r="D6" s="1" t="s">
        <v>86</v>
      </c>
      <c r="K6" s="1" t="s">
        <v>137</v>
      </c>
      <c r="L6" s="1" t="s">
        <v>138</v>
      </c>
      <c r="M6" s="20">
        <v>71.3</v>
      </c>
      <c r="N6" s="1" t="s">
        <v>86</v>
      </c>
    </row>
    <row r="7" spans="1:17" ht="14.25" customHeight="1">
      <c r="A7" s="1" t="s">
        <v>141</v>
      </c>
      <c r="B7" s="1" t="s">
        <v>142</v>
      </c>
      <c r="C7" s="1">
        <v>0.78</v>
      </c>
      <c r="F7" s="1" t="s">
        <v>143</v>
      </c>
      <c r="G7" s="1">
        <f>ACOS(C7)</f>
        <v>0.67613050956066123</v>
      </c>
      <c r="K7" s="1" t="s">
        <v>141</v>
      </c>
      <c r="L7" s="1" t="s">
        <v>142</v>
      </c>
      <c r="M7" s="1">
        <v>0.84</v>
      </c>
      <c r="P7" s="1" t="s">
        <v>143</v>
      </c>
      <c r="Q7" s="1">
        <f>ACOS(M7)</f>
        <v>0.57351310442309666</v>
      </c>
    </row>
    <row r="8" spans="1:17" ht="14.25" customHeight="1">
      <c r="A8" s="1" t="s">
        <v>148</v>
      </c>
      <c r="B8" s="1" t="s">
        <v>99</v>
      </c>
      <c r="C8" s="1">
        <v>980</v>
      </c>
      <c r="D8" s="1" t="s">
        <v>149</v>
      </c>
      <c r="K8" s="1" t="s">
        <v>148</v>
      </c>
      <c r="L8" s="1" t="s">
        <v>99</v>
      </c>
      <c r="M8" s="1">
        <v>1473</v>
      </c>
      <c r="N8" s="1" t="s">
        <v>149</v>
      </c>
    </row>
    <row r="9" spans="1:17" ht="14.25" customHeight="1">
      <c r="A9" s="1" t="s">
        <v>150</v>
      </c>
      <c r="B9" s="1" t="s">
        <v>152</v>
      </c>
      <c r="C9" s="1">
        <v>3</v>
      </c>
      <c r="K9" s="1" t="s">
        <v>150</v>
      </c>
      <c r="L9" s="1" t="s">
        <v>152</v>
      </c>
      <c r="M9" s="1">
        <v>2</v>
      </c>
    </row>
    <row r="10" spans="1:17" ht="14.25" customHeight="1"/>
    <row r="11" spans="1:17" ht="14.25" customHeight="1">
      <c r="A11" s="1" t="s">
        <v>153</v>
      </c>
      <c r="B11" s="1" t="s">
        <v>154</v>
      </c>
      <c r="C11" s="1">
        <f>C3/C4</f>
        <v>15.193428136569102</v>
      </c>
      <c r="D11" s="1" t="s">
        <v>158</v>
      </c>
      <c r="K11" s="1" t="s">
        <v>153</v>
      </c>
      <c r="L11" s="1" t="s">
        <v>154</v>
      </c>
      <c r="M11" s="1">
        <f>M3/M4</f>
        <v>11.274509803921569</v>
      </c>
      <c r="N11" s="1" t="s">
        <v>158</v>
      </c>
    </row>
    <row r="12" spans="1:17" ht="14.25" customHeight="1">
      <c r="A12" s="1" t="s">
        <v>159</v>
      </c>
      <c r="B12" s="1" t="s">
        <v>160</v>
      </c>
      <c r="C12" s="1">
        <f>(1000-C8)/1000</f>
        <v>0.02</v>
      </c>
      <c r="K12" s="1" t="s">
        <v>159</v>
      </c>
      <c r="L12" s="1" t="s">
        <v>160</v>
      </c>
      <c r="M12" s="1">
        <f>(1500-M8)/1500</f>
        <v>1.7999999999999999E-2</v>
      </c>
    </row>
    <row r="13" spans="1:17" ht="14.25" customHeight="1">
      <c r="A13" s="1" t="s">
        <v>167</v>
      </c>
      <c r="B13" s="30" t="s">
        <v>169</v>
      </c>
      <c r="C13" s="30">
        <f>C12*C11</f>
        <v>0.30386856273138202</v>
      </c>
      <c r="D13" s="1" t="s">
        <v>158</v>
      </c>
      <c r="K13" s="1" t="s">
        <v>167</v>
      </c>
      <c r="L13" s="30" t="s">
        <v>169</v>
      </c>
      <c r="M13" s="30">
        <f>M12*M11</f>
        <v>0.20294117647058824</v>
      </c>
      <c r="N13" s="1" t="s">
        <v>158</v>
      </c>
    </row>
    <row r="14" spans="1:17" ht="14.25" customHeight="1">
      <c r="A14" s="1" t="s">
        <v>175</v>
      </c>
      <c r="B14" s="1" t="s">
        <v>176</v>
      </c>
      <c r="C14" s="1">
        <f>SQRT(2)*C4*SQRT(1-C7)</f>
        <v>10.082539362680414</v>
      </c>
      <c r="D14" s="1" t="s">
        <v>180</v>
      </c>
      <c r="F14" s="1">
        <f>C14/SQRT(2)</f>
        <v>7.1294319549316114</v>
      </c>
      <c r="G14" s="1" t="s">
        <v>131</v>
      </c>
      <c r="K14" s="1" t="s">
        <v>175</v>
      </c>
      <c r="L14" s="1" t="s">
        <v>176</v>
      </c>
      <c r="M14" s="1">
        <f>SQRT(2)*M4*SQRT(1-M7)</f>
        <v>11.539982668964456</v>
      </c>
      <c r="N14" s="1" t="s">
        <v>180</v>
      </c>
      <c r="P14" s="1">
        <f>M14/SQRT(2)</f>
        <v>8.16</v>
      </c>
      <c r="Q14" s="1" t="s">
        <v>131</v>
      </c>
    </row>
    <row r="15" spans="1:17" ht="14.25" customHeight="1">
      <c r="A15" s="1" t="s">
        <v>188</v>
      </c>
      <c r="B15" s="1" t="s">
        <v>189</v>
      </c>
      <c r="C15" s="1">
        <f>SQRT(2*C4^2-C14^2)</f>
        <v>18.984793915131132</v>
      </c>
      <c r="D15" s="1" t="s">
        <v>180</v>
      </c>
      <c r="K15" s="1" t="s">
        <v>188</v>
      </c>
      <c r="L15" s="1" t="s">
        <v>189</v>
      </c>
      <c r="M15" s="1">
        <f>SQRT(2*M4^2-M14^2)</f>
        <v>26.441422049504069</v>
      </c>
      <c r="N15" s="1" t="s">
        <v>180</v>
      </c>
    </row>
    <row r="16" spans="1:17" ht="14.25" customHeight="1">
      <c r="A16" s="1" t="s">
        <v>194</v>
      </c>
      <c r="B16" s="1" t="s">
        <v>196</v>
      </c>
      <c r="C16" s="1">
        <f>C12*2*PI()*C5</f>
        <v>6.2831853071795871</v>
      </c>
      <c r="D16" s="1" t="s">
        <v>97</v>
      </c>
      <c r="G16" s="1">
        <f>C21/C13</f>
        <v>1.0199349181687809</v>
      </c>
      <c r="K16" s="1" t="s">
        <v>194</v>
      </c>
      <c r="L16" s="1" t="s">
        <v>196</v>
      </c>
      <c r="M16" s="1">
        <f>M12*2*PI()*M5</f>
        <v>5.6548667764616267</v>
      </c>
      <c r="N16" s="1" t="s">
        <v>97</v>
      </c>
    </row>
    <row r="17" spans="1:16" ht="14.25" customHeight="1">
      <c r="A17" s="1" t="s">
        <v>203</v>
      </c>
      <c r="B17" s="1" t="s">
        <v>204</v>
      </c>
      <c r="C17" s="1">
        <f>C15/C14/C16</f>
        <v>0.29967884939363054</v>
      </c>
      <c r="D17" s="1" t="s">
        <v>13</v>
      </c>
      <c r="K17" s="1" t="s">
        <v>203</v>
      </c>
      <c r="L17" s="1" t="s">
        <v>204</v>
      </c>
      <c r="M17" s="1">
        <f>M15/M14/M16</f>
        <v>0.40518865219166644</v>
      </c>
      <c r="N17" s="1" t="s">
        <v>13</v>
      </c>
    </row>
    <row r="18" spans="1:16" ht="14.25" customHeight="1">
      <c r="A18" s="1" t="s">
        <v>210</v>
      </c>
      <c r="B18" s="1" t="s">
        <v>211</v>
      </c>
      <c r="C18" s="1">
        <f>(SIN(G7)-COS(G7)*C14/C15)*C3/C4</f>
        <v>3.2139146298338077</v>
      </c>
      <c r="D18" s="1" t="s">
        <v>158</v>
      </c>
      <c r="K18" s="1" t="s">
        <v>210</v>
      </c>
      <c r="L18" s="1" t="s">
        <v>211</v>
      </c>
      <c r="M18" s="1">
        <f>(SIN(Q7)-COS(Q7)*M14/M15)*M3/M4</f>
        <v>1.9840921030547773</v>
      </c>
      <c r="N18" s="1" t="s">
        <v>158</v>
      </c>
    </row>
    <row r="19" spans="1:16" ht="14.25" customHeight="1">
      <c r="A19" s="1" t="s">
        <v>221</v>
      </c>
      <c r="B19" s="1" t="s">
        <v>222</v>
      </c>
      <c r="C19" s="1">
        <f>SQRT(2)*C3/C14-C18</f>
        <v>29.178582996306389</v>
      </c>
      <c r="D19" s="1" t="s">
        <v>158</v>
      </c>
      <c r="G19" s="1">
        <f>C21/C13</f>
        <v>1.0199349181687809</v>
      </c>
      <c r="K19" s="1" t="s">
        <v>221</v>
      </c>
      <c r="L19" s="1" t="s">
        <v>222</v>
      </c>
      <c r="M19" s="1">
        <f>SQRT(2)*M3/M14-M18</f>
        <v>26.202182406749145</v>
      </c>
      <c r="N19" s="1" t="s">
        <v>158</v>
      </c>
    </row>
    <row r="20" spans="1:16" ht="14.25" customHeight="1">
      <c r="A20" s="1" t="s">
        <v>224</v>
      </c>
      <c r="B20" s="1" t="s">
        <v>225</v>
      </c>
      <c r="C20" s="1">
        <f>C19/2/PI()/C5</f>
        <v>9.2878314325585756E-2</v>
      </c>
      <c r="D20" s="1" t="s">
        <v>226</v>
      </c>
      <c r="K20" s="1" t="s">
        <v>224</v>
      </c>
      <c r="L20" s="1" t="s">
        <v>225</v>
      </c>
      <c r="M20" s="1">
        <f>M19/2/PI()/M5</f>
        <v>8.3404136996592423E-2</v>
      </c>
      <c r="N20" s="1" t="s">
        <v>226</v>
      </c>
    </row>
    <row r="21" spans="1:16" ht="14.25" customHeight="1">
      <c r="A21" s="1" t="s">
        <v>227</v>
      </c>
      <c r="B21" s="30" t="s">
        <v>228</v>
      </c>
      <c r="C21" s="30">
        <f>C16/2/PI()/C5*C14/C15*C19</f>
        <v>0.30992615766349718</v>
      </c>
      <c r="D21" s="1" t="s">
        <v>158</v>
      </c>
      <c r="K21" s="1" t="s">
        <v>227</v>
      </c>
      <c r="L21" s="30" t="s">
        <v>228</v>
      </c>
      <c r="M21" s="30">
        <f>M16/2/PI()/M5*M14/M15*M19</f>
        <v>0.20584025871765968</v>
      </c>
      <c r="N21" s="1" t="s">
        <v>158</v>
      </c>
    </row>
    <row r="22" spans="1:16" ht="14.25" customHeight="1">
      <c r="A22" s="1" t="s">
        <v>229</v>
      </c>
      <c r="B22" s="1" t="s">
        <v>230</v>
      </c>
      <c r="C22" s="1">
        <f>C18/C19</f>
        <v>0.11014635735534675</v>
      </c>
      <c r="F22" s="1">
        <f>C18/2/PI()/C5</f>
        <v>1.0230208000268191E-2</v>
      </c>
      <c r="K22" s="1" t="s">
        <v>229</v>
      </c>
      <c r="L22" s="1" t="s">
        <v>230</v>
      </c>
      <c r="M22" s="1">
        <f>M18/M19</f>
        <v>7.5722398701556851E-2</v>
      </c>
      <c r="P22" s="1">
        <f>M18/2/PI()/M5</f>
        <v>6.3155613150152412E-3</v>
      </c>
    </row>
    <row r="23" spans="1:16" ht="14.25" customHeight="1">
      <c r="A23" s="1" t="s">
        <v>231</v>
      </c>
      <c r="B23" s="1" t="s">
        <v>208</v>
      </c>
      <c r="C23" s="1">
        <f>C20/C21</f>
        <v>0.29967884939363049</v>
      </c>
      <c r="D23" s="1" t="s">
        <v>13</v>
      </c>
      <c r="K23" s="1" t="s">
        <v>231</v>
      </c>
      <c r="L23" s="1" t="s">
        <v>208</v>
      </c>
      <c r="M23" s="1">
        <f>M20/M21</f>
        <v>0.40518865219166633</v>
      </c>
      <c r="N23" s="1" t="s">
        <v>13</v>
      </c>
    </row>
    <row r="24" spans="1:16" ht="14.25" customHeight="1">
      <c r="A24" s="1" t="s">
        <v>232</v>
      </c>
      <c r="B24" s="1" t="s">
        <v>233</v>
      </c>
      <c r="C24" s="1">
        <f>C17*C21</f>
        <v>9.287831432558577E-2</v>
      </c>
      <c r="D24" s="1" t="s">
        <v>226</v>
      </c>
      <c r="K24" s="1" t="s">
        <v>232</v>
      </c>
      <c r="L24" s="1" t="s">
        <v>233</v>
      </c>
      <c r="M24" s="1">
        <f>M17*M21</f>
        <v>8.3404136996592451E-2</v>
      </c>
      <c r="N24" s="1" t="s">
        <v>226</v>
      </c>
    </row>
    <row r="25" spans="1:16" ht="14.25" customHeight="1">
      <c r="A25" s="1" t="s">
        <v>234</v>
      </c>
      <c r="B25" s="30" t="s">
        <v>235</v>
      </c>
      <c r="C25" s="30">
        <f>SQRT(C20*C24*(1-C22))</f>
        <v>8.7614021695715347E-2</v>
      </c>
      <c r="D25" s="1" t="s">
        <v>226</v>
      </c>
      <c r="F25" s="1">
        <f>C14*C25</f>
        <v>0.88337182246978585</v>
      </c>
      <c r="G25" s="1">
        <f>2*3.14*50*C25</f>
        <v>27.510802812454617</v>
      </c>
      <c r="K25" s="1" t="s">
        <v>234</v>
      </c>
      <c r="L25" s="30" t="s">
        <v>235</v>
      </c>
      <c r="M25" s="30">
        <f>SQRT(M20*M24*(1-M22))</f>
        <v>8.0184201230781418E-2</v>
      </c>
      <c r="N25" s="1" t="s">
        <v>226</v>
      </c>
      <c r="P25" s="1">
        <f>M14*M25</f>
        <v>0.92532429252797599</v>
      </c>
    </row>
    <row r="26" spans="1:16" ht="14.25" customHeight="1">
      <c r="A26" s="1" t="s">
        <v>237</v>
      </c>
      <c r="B26" s="30" t="s">
        <v>238</v>
      </c>
      <c r="C26" s="30">
        <f>C20-C25</f>
        <v>5.2642926298704096E-3</v>
      </c>
      <c r="D26" s="1" t="s">
        <v>226</v>
      </c>
      <c r="K26" s="1" t="s">
        <v>237</v>
      </c>
      <c r="L26" s="30" t="s">
        <v>238</v>
      </c>
      <c r="M26" s="30">
        <f>M20-M25</f>
        <v>3.219935765811005E-3</v>
      </c>
      <c r="N26" s="1" t="s">
        <v>226</v>
      </c>
    </row>
    <row r="27" spans="1:16" ht="14.25" customHeight="1">
      <c r="A27" s="1" t="s">
        <v>239</v>
      </c>
      <c r="B27" s="30" t="s">
        <v>240</v>
      </c>
      <c r="C27" s="30">
        <f>C24-C25</f>
        <v>5.2642926298704235E-3</v>
      </c>
      <c r="D27" s="1" t="s">
        <v>226</v>
      </c>
      <c r="F27" s="1">
        <f>C26*2*3.14*50</f>
        <v>1.6529878857793088</v>
      </c>
      <c r="K27" s="1" t="s">
        <v>239</v>
      </c>
      <c r="L27" s="30" t="s">
        <v>240</v>
      </c>
      <c r="M27" s="30">
        <f>M24-M25</f>
        <v>3.2199357658110328E-3</v>
      </c>
      <c r="N27" s="1" t="s">
        <v>226</v>
      </c>
    </row>
    <row r="28" spans="1:16" ht="14.25" customHeight="1">
      <c r="A28" s="1" t="s">
        <v>241</v>
      </c>
      <c r="B28" s="1" t="s">
        <v>242</v>
      </c>
      <c r="C28" s="1">
        <f>C25*C14</f>
        <v>0.88337182246978585</v>
      </c>
      <c r="D28" s="1" t="s">
        <v>243</v>
      </c>
      <c r="K28" s="1" t="s">
        <v>241</v>
      </c>
      <c r="L28" s="1" t="s">
        <v>242</v>
      </c>
      <c r="M28" s="1">
        <f>M25*M14</f>
        <v>0.92532429252797599</v>
      </c>
      <c r="N28" s="1" t="s">
        <v>243</v>
      </c>
    </row>
    <row r="29" spans="1:16" ht="14.25" customHeight="1">
      <c r="A29" s="1" t="s">
        <v>244</v>
      </c>
      <c r="B29" s="1" t="s">
        <v>245</v>
      </c>
      <c r="C29" s="1">
        <f>C25/(C25+C27)</f>
        <v>0.94332054077320571</v>
      </c>
      <c r="K29" s="1" t="s">
        <v>244</v>
      </c>
      <c r="L29" s="1" t="s">
        <v>245</v>
      </c>
      <c r="M29" s="1">
        <f>M25/(M25+M27)</f>
        <v>0.96139357252815183</v>
      </c>
    </row>
    <row r="30" spans="1:16" ht="14.25" customHeight="1">
      <c r="A30" s="1" t="s">
        <v>246</v>
      </c>
      <c r="B30" s="1" t="s">
        <v>247</v>
      </c>
      <c r="C30" s="1">
        <f>C26+C27*C29^2</f>
        <v>9.948742602508007E-3</v>
      </c>
      <c r="D30" s="1" t="s">
        <v>226</v>
      </c>
      <c r="K30" s="1" t="s">
        <v>246</v>
      </c>
      <c r="L30" s="1" t="s">
        <v>247</v>
      </c>
      <c r="M30" s="1">
        <f>M26+M27*M29^2</f>
        <v>6.1960502717698911E-3</v>
      </c>
      <c r="N30" s="1" t="s">
        <v>226</v>
      </c>
    </row>
    <row r="31" spans="1:16" ht="14.25" customHeight="1">
      <c r="A31" s="1" t="s">
        <v>248</v>
      </c>
      <c r="B31" s="1" t="s">
        <v>249</v>
      </c>
      <c r="C31" s="1">
        <f>C21+C13*C29^2</f>
        <v>0.58032470509521272</v>
      </c>
      <c r="D31" s="1" t="s">
        <v>158</v>
      </c>
      <c r="K31" s="1" t="s">
        <v>248</v>
      </c>
      <c r="L31" s="1" t="s">
        <v>249</v>
      </c>
      <c r="M31" s="1">
        <f>M21+M13*M29^2</f>
        <v>0.39341424251057894</v>
      </c>
      <c r="N31" s="1" t="s">
        <v>158</v>
      </c>
    </row>
    <row r="32" spans="1:16" ht="14.25" customHeight="1">
      <c r="A32" s="1" t="s">
        <v>250</v>
      </c>
      <c r="B32" s="1" t="s">
        <v>251</v>
      </c>
      <c r="C32" s="1">
        <f>2*PI()*C5</f>
        <v>314.15926535897933</v>
      </c>
      <c r="D32" s="1" t="s">
        <v>97</v>
      </c>
      <c r="K32" s="1" t="s">
        <v>250</v>
      </c>
      <c r="L32" s="1" t="s">
        <v>251</v>
      </c>
      <c r="M32" s="1">
        <f>2*PI()*M5</f>
        <v>314.15926535897933</v>
      </c>
      <c r="N32" s="1" t="s">
        <v>97</v>
      </c>
    </row>
    <row r="33" spans="1:16" ht="14.25" customHeight="1">
      <c r="A33" s="1" t="s">
        <v>253</v>
      </c>
      <c r="B33" s="1" t="s">
        <v>254</v>
      </c>
      <c r="C33" s="1">
        <f>2*PI()/60*C8*C9</f>
        <v>307.8760800517997</v>
      </c>
      <c r="D33" s="1" t="s">
        <v>97</v>
      </c>
      <c r="K33" s="1" t="s">
        <v>253</v>
      </c>
      <c r="L33" s="1" t="s">
        <v>254</v>
      </c>
      <c r="M33" s="1">
        <f>2*PI()/60*M8*M9</f>
        <v>308.50439858251769</v>
      </c>
      <c r="N33" s="1" t="s">
        <v>97</v>
      </c>
    </row>
    <row r="34" spans="1:16" ht="14.25" customHeight="1">
      <c r="A34" s="1" t="s">
        <v>256</v>
      </c>
      <c r="B34" s="1" t="s">
        <v>257</v>
      </c>
      <c r="C34" s="1">
        <f>C31*C14-C32*C30*C15-C29*C28/C17</f>
        <v>-56.266283179542128</v>
      </c>
      <c r="D34" s="1" t="s">
        <v>170</v>
      </c>
      <c r="F34" s="1">
        <f t="shared" ref="F34:F35" si="0">C34/$F$36</f>
        <v>-0.18488524851089877</v>
      </c>
      <c r="K34" s="1" t="s">
        <v>256</v>
      </c>
      <c r="L34" s="1" t="s">
        <v>257</v>
      </c>
      <c r="M34" s="1">
        <f>M31*M14-M32*M30*M15-M29*M28/M17</f>
        <v>-49.124989250147863</v>
      </c>
      <c r="N34" s="1" t="s">
        <v>170</v>
      </c>
      <c r="P34" s="1">
        <f t="shared" ref="P34:P35" si="1">M34/$F$36</f>
        <v>-0.16141968746411034</v>
      </c>
    </row>
    <row r="35" spans="1:16" ht="14.25" customHeight="1">
      <c r="A35" s="1" t="s">
        <v>258</v>
      </c>
      <c r="B35" s="1" t="s">
        <v>259</v>
      </c>
      <c r="C35" s="1">
        <f>C31*C15+C32*C30*C14+C29*C28*C33</f>
        <v>299.08421255481051</v>
      </c>
      <c r="D35" s="1" t="s">
        <v>170</v>
      </c>
      <c r="F35" s="1">
        <f t="shared" si="0"/>
        <v>0.98276011563507348</v>
      </c>
      <c r="K35" s="1" t="s">
        <v>258</v>
      </c>
      <c r="L35" s="1" t="s">
        <v>259</v>
      </c>
      <c r="M35" s="1">
        <f>M31*M15+M32*M30*M14+M29*M28*M33</f>
        <v>307.31131428943343</v>
      </c>
      <c r="N35" s="1" t="s">
        <v>170</v>
      </c>
      <c r="P35" s="1">
        <f t="shared" si="1"/>
        <v>1.0097935300135668</v>
      </c>
    </row>
    <row r="36" spans="1:16" ht="14.25" customHeight="1">
      <c r="A36" s="1" t="s">
        <v>260</v>
      </c>
      <c r="B36" s="1" t="s">
        <v>261</v>
      </c>
      <c r="C36" s="1">
        <f>SQRT(C34^2+C35^2)/SQRT(2)</f>
        <v>215.19440144015306</v>
      </c>
      <c r="D36" s="1" t="s">
        <v>170</v>
      </c>
      <c r="F36" s="1">
        <f>C36*SQRT(2)</f>
        <v>304.33084106342477</v>
      </c>
      <c r="K36" s="1" t="s">
        <v>260</v>
      </c>
      <c r="L36" s="1" t="s">
        <v>261</v>
      </c>
      <c r="M36" s="1">
        <f>SQRT(M34^2+M35^2)/SQRT(2)</f>
        <v>220.06079666665534</v>
      </c>
      <c r="N36" s="1" t="s">
        <v>170</v>
      </c>
      <c r="P36" s="1">
        <f>M36*SQRT(2)</f>
        <v>311.21296319261199</v>
      </c>
    </row>
    <row r="37" spans="1:16" ht="14.25" customHeight="1"/>
    <row r="38" spans="1:16" ht="14.25" customHeight="1"/>
    <row r="39" spans="1:16" ht="14.25" customHeight="1"/>
    <row r="40" spans="1:16" ht="14.25" customHeight="1"/>
    <row r="41" spans="1:16" ht="14.25" customHeight="1"/>
    <row r="42" spans="1:16" ht="14.25" customHeight="1"/>
    <row r="43" spans="1:16" ht="14.25" customHeight="1"/>
    <row r="44" spans="1:16" ht="14.25" customHeight="1"/>
    <row r="45" spans="1:16" ht="14.25" customHeight="1"/>
    <row r="46" spans="1:16" ht="14.25" customHeight="1"/>
    <row r="47" spans="1:16" ht="14.25" customHeight="1"/>
    <row r="48" spans="1:1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G1"/>
    <mergeCell ref="K1:Q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8"/>
  <sheetViews>
    <sheetView tabSelected="1" workbookViewId="0"/>
  </sheetViews>
  <sheetFormatPr defaultColWidth="12.5703125" defaultRowHeight="15.75" customHeight="1"/>
  <cols>
    <col min="3" max="3" width="39.85546875" customWidth="1"/>
    <col min="4" max="4" width="32.28515625" customWidth="1"/>
    <col min="5" max="5" width="14.42578125" customWidth="1"/>
  </cols>
  <sheetData>
    <row r="1" spans="1:5">
      <c r="A1" s="1" t="s">
        <v>2</v>
      </c>
      <c r="B1" s="1" t="s">
        <v>263</v>
      </c>
      <c r="C1" s="1" t="s">
        <v>264</v>
      </c>
      <c r="D1" s="1" t="s">
        <v>265</v>
      </c>
      <c r="E1" s="1" t="s">
        <v>266</v>
      </c>
    </row>
    <row r="2" spans="1:5">
      <c r="A2" s="1">
        <v>1</v>
      </c>
      <c r="B2" s="1" t="s">
        <v>267</v>
      </c>
      <c r="C2" s="38" t="s">
        <v>268</v>
      </c>
      <c r="D2" s="1" t="s">
        <v>269</v>
      </c>
      <c r="E2" s="2" t="s">
        <v>270</v>
      </c>
    </row>
    <row r="3" spans="1:5">
      <c r="A3" s="1">
        <v>3</v>
      </c>
      <c r="B3" s="1" t="s">
        <v>271</v>
      </c>
      <c r="C3" s="38" t="s">
        <v>272</v>
      </c>
      <c r="D3" s="1" t="s">
        <v>273</v>
      </c>
      <c r="E3" s="2" t="s">
        <v>274</v>
      </c>
    </row>
    <row r="4" spans="1:5">
      <c r="A4" s="1">
        <v>4</v>
      </c>
      <c r="B4" s="1" t="s">
        <v>275</v>
      </c>
      <c r="C4" s="38"/>
      <c r="D4" s="1" t="s">
        <v>276</v>
      </c>
      <c r="E4" s="1"/>
    </row>
    <row r="5" spans="1:5">
      <c r="C5" s="38"/>
    </row>
    <row r="6" spans="1:5">
      <c r="C6" s="38"/>
    </row>
    <row r="7" spans="1:5">
      <c r="C7" s="38"/>
    </row>
    <row r="8" spans="1:5">
      <c r="C8" s="38"/>
    </row>
  </sheetData>
  <hyperlinks>
    <hyperlink ref="E2" r:id="rId1" xr:uid="{00000000-0004-0000-0600-000000000000}"/>
    <hyperlink ref="E3" r:id="rId2" xr:uid="{00000000-0004-0000-06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Tính toán chi tiết động cơ a=1</vt:lpstr>
      <vt:lpstr>Tính toán chi tiết động cơ a=6</vt:lpstr>
      <vt:lpstr>Copy of Tính toán chi tiết động</vt:lpstr>
      <vt:lpstr>20251_IM_Params_Calculation</vt:lpstr>
      <vt:lpstr>Copy of 20251_IM_Params_Calcula</vt:lpstr>
      <vt:lpstr>Tính chọn thiết bị đi kèm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Inguy</cp:lastModifiedBy>
  <dcterms:modified xsi:type="dcterms:W3CDTF">2026-09-23T05:57:17Z</dcterms:modified>
</cp:coreProperties>
</file>