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aacbf01a9d4e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nh_toan_x2" sheetId="1" r:id="R8c752e32ea7645b8"/>
    <x:sheet xmlns:r="http://schemas.openxmlformats.org/officeDocument/2006/relationships" name="Chu_ky" sheetId="2" r:id="R663d3769fbdb410f"/>
    <x:sheet xmlns:r="http://schemas.openxmlformats.org/officeDocument/2006/relationships" name="Do_thi" sheetId="3" r:id="Rb7cac709c12d4831"/>
    <x:sheet xmlns:r="http://schemas.openxmlformats.org/officeDocument/2006/relationships" name="Thiet_bi" sheetId="4" r:id="Re3292f8075114a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"/>
    <x:numFmt numFmtId="201" formatCode="#,##0.000"/>
  </x:numFmts>
  <x:fonts count="3">
    <x:font>
      <x:sz val="11"/>
      <x:name val="Carlito"/>
    </x:font>
    <x:font>
      <x:sz val="11"/>
      <x:name val="Arial"/>
    </x:font>
    <x:font>
      <x:b/>
      <x:sz val="14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BFE5F2"/>
      </x:patternFill>
    </x:fill>
    <x:fill>
      <x:patternFill patternType="solid">
        <x:fgColor rgb="FFD8EAD0"/>
      </x:patternFill>
    </x:fill>
    <x:fill>
      <x:patternFill patternType="solid">
        <x:fgColor rgb="FFCBDAF4"/>
      </x:patternFill>
    </x:fill>
    <x:fill>
      <x:patternFill patternType="solid">
        <x:fgColor rgb="FFEBD4DF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0" fontId="1" fillId="6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d5ae959c434913" /><Relationship Type="http://schemas.openxmlformats.org/officeDocument/2006/relationships/theme" Target="/xl/theme/theme1.xml" Id="R1152f5279a264427" /><Relationship Type="http://schemas.openxmlformats.org/officeDocument/2006/relationships/sharedStrings" Target="/xl/sharedStrings.xml" Id="R56a0c74864f84a7c" /><Relationship Type="http://schemas.openxmlformats.org/officeDocument/2006/relationships/worksheet" Target="/xl/worksheets/sheet1.xml" Id="R8c752e32ea7645b8" /><Relationship Type="http://schemas.openxmlformats.org/officeDocument/2006/relationships/worksheet" Target="/xl/worksheets/sheet2.xml" Id="R663d3769fbdb410f" /><Relationship Type="http://schemas.openxmlformats.org/officeDocument/2006/relationships/worksheet" Target="/xl/worksheets/sheet3.xml" Id="Rb7cac709c12d4831" /><Relationship Type="http://schemas.openxmlformats.org/officeDocument/2006/relationships/worksheet" Target="/xl/worksheets/sheet4.xml" Id="Re3292f8075114ad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043132a0e74ae7" /><Relationship Type="http://schemas.openxmlformats.org/officeDocument/2006/relationships/chart" Target="/xl/drawings/charts/chart2.xml" Id="R757f97ba700e4ee5" /><Relationship Type="http://schemas.openxmlformats.org/officeDocument/2006/relationships/chart" Target="/xl/drawings/charts/chart3.xml" Id="R5b7368db79b7477a" /><Relationship Type="http://schemas.openxmlformats.org/officeDocument/2006/relationships/chart" Target="/xl/drawings/charts/chart4.xml" Id="R6a66ea952dae43d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Vận tốc v(t) [m/s]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v (m/s)</c:v>
          </c:tx>
          <c:spPr>
            <a:ln xmlns:a="http://schemas.openxmlformats.org/drawingml/2006/main" w="19050">
              <a:solidFill>
                <a:srgbClr val="1F4E78"/>
              </a:solidFill>
              <a:prstDash val="solid"/>
            </a:ln>
          </c:spPr>
          <c:xVal>
            <c:numRef>
              <c:f>'Do_thi'!$A$5:$A$169</c:f>
              <c:numCache>
                <c:formatCode>General</c:formatCode>
                <c:ptCount val="0"/>
              </c:numCache>
            </c:numRef>
          </c:xVal>
          <c:yVal>
            <c:numRef>
              <c:f>'Do_thi'!$B$5:$B$169</c:f>
              <c:numCache>
                <c:formatCode>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Thời gian (s)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Lực F(t) [N]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F (N)</c:v>
          </c:tx>
          <c:spPr>
            <a:ln xmlns:a="http://schemas.openxmlformats.org/drawingml/2006/main" w="19050">
              <a:solidFill>
                <a:srgbClr val="1F4E78"/>
              </a:solidFill>
              <a:prstDash val="solid"/>
            </a:ln>
          </c:spPr>
          <c:xVal>
            <c:numRef>
              <c:f>'Do_thi'!$A$5:$A$169</c:f>
              <c:numCache>
                <c:formatCode>General</c:formatCode>
                <c:ptCount val="0"/>
              </c:numCache>
            </c:numRef>
          </c:xVal>
          <c:yVal>
            <c:numRef>
              <c:f>'Do_thi'!$C$5:$C$169</c:f>
              <c:numCache>
                <c:formatCode>#,##0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Thời gian (s)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Công suất motor P(t) [W]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P motor (W)</c:v>
          </c:tx>
          <c:spPr>
            <a:ln xmlns:a="http://schemas.openxmlformats.org/drawingml/2006/main" w="19050">
              <a:solidFill>
                <a:srgbClr val="1F4E78"/>
              </a:solidFill>
              <a:prstDash val="solid"/>
            </a:ln>
          </c:spPr>
          <c:xVal>
            <c:numRef>
              <c:f>'Do_thi'!$A$5:$A$169</c:f>
              <c:numCache>
                <c:formatCode>General</c:formatCode>
                <c:ptCount val="0"/>
              </c:numCache>
            </c:numRef>
          </c:xVal>
          <c:yVal>
            <c:numRef>
              <c:f>'Do_thi'!$D$5:$D$169</c:f>
              <c:numCache>
                <c:formatCode>#,##0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Thời gian (s)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Mô-men motor M(t) [N·m]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M motor (N·m)</c:v>
          </c:tx>
          <c:spPr>
            <a:ln xmlns:a="http://schemas.openxmlformats.org/drawingml/2006/main" w="19050">
              <a:solidFill>
                <a:srgbClr val="1F4E78"/>
              </a:solidFill>
              <a:prstDash val="solid"/>
            </a:ln>
          </c:spPr>
          <c:xVal>
            <c:numRef>
              <c:f>'Do_thi'!$A$5:$A$169</c:f>
              <c:numCache>
                <c:formatCode>General</c:formatCode>
                <c:ptCount val="0"/>
              </c:numCache>
            </c:numRef>
          </c:xVal>
          <c:yVal>
            <c:numRef>
              <c:f>'Do_thi'!$E$5:$E$169</c:f>
              <c:numCache>
                <c:formatCode>#,##0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Thời gian (s)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20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043132a0e74ae7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20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7f97ba700e4ee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20</xdr:col>
      <xdr:colOff>0</xdr:colOff>
      <xdr:row>49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7368db79b7477a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20</xdr:col>
      <xdr:colOff>0</xdr:colOff>
      <xdr:row>65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66ea952dae43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28ad426bdc99453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5" hidden="0" customWidth="1"/>
    <x:col min="9" max="9" width="5" hidden="0" customWidth="1"/>
    <x:col min="2" max="2" width="37" hidden="0" customWidth="1"/>
    <x:col min="10" max="10" width="37" hidden="0" customWidth="1"/>
    <x:col min="3" max="3" width="12" hidden="0" customWidth="1"/>
    <x:col min="11" max="11" width="12" hidden="0" customWidth="1"/>
    <x:col min="4" max="4" width="36" hidden="0" customWidth="1"/>
    <x:col min="12" max="12" width="36" hidden="0" customWidth="1"/>
    <x:col min="5" max="5" width="17" hidden="0" customWidth="1"/>
    <x:col min="13" max="13" width="17" hidden="0" customWidth="1"/>
    <x:col min="6" max="6" width="12" hidden="0" customWidth="1"/>
    <x:col min="14" max="14" width="12" hidden="0" customWidth="1"/>
    <x:col min="7" max="7" width="3" hidden="0" customWidth="1"/>
    <x:col min="8" max="8" width="3" hidden="0" customWidth="1"/>
  </x:cols>
  <x:sheetData>
    <x:row r="2" ht="32" customHeight="1">
      <x:c r="A2" s="3"/>
      <x:c r="B2" s="3"/>
      <x:c r="C2" s="3"/>
      <x:c r="D2" s="3"/>
      <x:c r="E2" s="3"/>
      <x:c r="F2" s="3"/>
      <x:c r="G2" s="3"/>
      <x:c r="H2" s="3"/>
      <x:c r="I2" s="3"/>
      <x:c r="J2" s="3" t="str">
        <x:v>Chu kỳ cùng hành trình; số liệu cột M theo ramp tuyến tính để đối chiếu</x:v>
      </x:c>
      <x:c r="K2" s="3"/>
      <x:c r="L2" s="3"/>
      <x:c r="M2" s="3"/>
      <x:c r="N2" s="3"/>
    </x:row>
    <x:row r="3" ht="32" customHeight="1">
      <x:c r="A3" s="3"/>
      <x:c r="B3" s="14" t="str">
        <x:v>TÍNH TOÁN XE CON CẦU TRỤC VỚI x = 2 THEO MẪU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 ht="32" customHeight="1">
      <x:c r="A4" s="5" t="str">
        <x:v>STT</x:v>
      </x:c>
      <x:c r="B4" s="5" t="str">
        <x:v>Thông số</x:v>
      </x:c>
      <x:c r="C4" s="5" t="str">
        <x:v>Kí hiệu</x:v>
      </x:c>
      <x:c r="D4" s="5" t="str">
        <x:v>Công thức tính</x:v>
      </x:c>
      <x:c r="E4" s="5" t="str">
        <x:v>Giá trị</x:v>
      </x:c>
      <x:c r="F4" s="5" t="str">
        <x:v>Đơn vị</x:v>
      </x:c>
      <x:c r="G4" s="3"/>
      <x:c r="H4" s="3"/>
      <x:c r="I4" s="5" t="str">
        <x:v>STT</x:v>
      </x:c>
      <x:c r="J4" s="5" t="str">
        <x:v>Thông số</x:v>
      </x:c>
      <x:c r="K4" s="5" t="str">
        <x:v>Kí hiệu</x:v>
      </x:c>
      <x:c r="L4" s="5" t="str">
        <x:v>Công thức tính</x:v>
      </x:c>
      <x:c r="M4" s="5" t="str">
        <x:v>Giá trị</x:v>
      </x:c>
      <x:c r="N4" s="5" t="str">
        <x:v>Đơn vị</x:v>
      </x:c>
    </x:row>
    <x:row r="5" ht="32" customHeight="1">
      <x:c r="A5" s="7" t="n">
        <x:v>1</x:v>
      </x:c>
      <x:c r="B5" s="7" t="str">
        <x:v>Hàng đơn vị của STT trong ds lớp</x:v>
      </x:c>
      <x:c r="C5" s="7" t="str">
        <x:v>x</x:v>
      </x:c>
      <x:c r="D5" s="7"/>
      <x:c r="E5" s="13" t="n">
        <x:v>2</x:v>
      </x:c>
      <x:c r="F5" s="7"/>
      <x:c r="G5" s="3"/>
      <x:c r="H5" s="3" t="str">
        <x:v>Có tải</x:v>
      </x:c>
      <x:c r="I5" s="3" t="n">
        <x:v>1</x:v>
      </x:c>
      <x:c r="J5" s="3" t="str">
        <x:v>Thời gian tăng tốc</x:v>
      </x:c>
      <x:c r="K5" s="3" t="str">
        <x:v>t1</x:v>
      </x:c>
      <x:c r="L5" s="3"/>
      <x:c r="M5" s="4" t="n">
        <x:v>2</x:v>
      </x:c>
      <x:c r="N5" s="3" t="str">
        <x:v>s</x:v>
      </x:c>
    </x:row>
    <x:row r="6" ht="32" customHeight="1">
      <x:c r="A6" s="7" t="n">
        <x:v>2</x:v>
      </x:c>
      <x:c r="B6" s="7" t="str">
        <x:v>Tải trọng định mức</x:v>
      </x:c>
      <x:c r="C6" s="7" t="str">
        <x:v>M</x:v>
      </x:c>
      <x:c r="D6" s="7"/>
      <x:c r="E6" s="8" t="n">
        <x:f>10000+1111*E5</x:f>
        <x:v>12222</x:v>
      </x:c>
      <x:c r="F6" s="7" t="str">
        <x:v>kg</x:v>
      </x:c>
      <x:c r="G6" s="3"/>
      <x:c r="H6" s="3"/>
      <x:c r="I6" s="3" t="n">
        <x:v>2</x:v>
      </x:c>
      <x:c r="J6" s="3" t="str">
        <x:v>Tăng đến giá trị vận tốc</x:v>
      </x:c>
      <x:c r="K6" s="3" t="str">
        <x:v>v1</x:v>
      </x:c>
      <x:c r="L6" s="3"/>
      <x:c r="M6" s="4" t="n">
        <x:f>E9</x:f>
        <x:v>0.12000000000000001</x:v>
      </x:c>
      <x:c r="N6" s="3" t="str">
        <x:v>m/s</x:v>
      </x:c>
    </x:row>
    <x:row r="7" ht="32" customHeight="1">
      <x:c r="A7" s="7" t="n">
        <x:v>3</x:v>
      </x:c>
      <x:c r="B7" s="7" t="str">
        <x:v>Khối lượng cơ cấu nâng hạ</x:v>
      </x:c>
      <x:c r="C7" s="7" t="str">
        <x:v>m</x:v>
      </x:c>
      <x:c r="D7" s="7"/>
      <x:c r="E7" s="8" t="n">
        <x:f>200+11*E5</x:f>
        <x:v>222</x:v>
      </x:c>
      <x:c r="F7" s="7" t="str">
        <x:v>kg</x:v>
      </x:c>
      <x:c r="G7" s="3"/>
      <x:c r="H7" s="3"/>
      <x:c r="I7" s="3" t="n">
        <x:v>3</x:v>
      </x:c>
      <x:c r="J7" s="3" t="str">
        <x:v>Gia tốc khi tăng tốc</x:v>
      </x:c>
      <x:c r="K7" s="3" t="str">
        <x:v>a1</x:v>
      </x:c>
      <x:c r="L7" s="3" t="str">
        <x:v>a1=v1/t1</x:v>
      </x:c>
      <x:c r="M7" s="4" t="n">
        <x:f>M6/M5</x:f>
        <x:v>0.060000000000000005</x:v>
      </x:c>
      <x:c r="N7" s="3" t="str">
        <x:v>m/s^2</x:v>
      </x:c>
    </x:row>
    <x:row r="8" ht="32" customHeight="1">
      <x:c r="A8" s="7" t="n">
        <x:v>4</x:v>
      </x:c>
      <x:c r="B8" s="7" t="str">
        <x:v>Chiều cao nâng</x:v>
      </x:c>
      <x:c r="C8" s="7" t="str">
        <x:v>h</x:v>
      </x:c>
      <x:c r="D8" s="7"/>
      <x:c r="E8" s="8" t="n">
        <x:f>10+E5</x:f>
        <x:v>12</x:v>
      </x:c>
      <x:c r="F8" s="7" t="str">
        <x:v>m</x:v>
      </x:c>
      <x:c r="G8" s="3"/>
      <x:c r="H8" s="3"/>
      <x:c r="I8" s="3" t="n">
        <x:v>4</x:v>
      </x:c>
      <x:c r="J8" s="3" t="str">
        <x:v>Lực khi tăng tốc</x:v>
      </x:c>
      <x:c r="K8" s="3" t="str">
        <x:v>Ft1</x:v>
      </x:c>
      <x:c r="L8" s="3" t="str">
        <x:v>Ft1=(M+m)*(mu*g+a1)</x:v>
      </x:c>
      <x:c r="M8" s="4" t="n">
        <x:f>(E6+E7+E51)*(E14*E17+M7)</x:f>
        <x:v>25161.768000000004</x:v>
      </x:c>
      <x:c r="N8" s="3" t="str">
        <x:v>N</x:v>
      </x:c>
    </x:row>
    <x:row r="9" ht="32" customHeight="1">
      <x:c r="A9" s="7" t="n">
        <x:v>5</x:v>
      </x:c>
      <x:c r="B9" s="7" t="str">
        <x:v>Tốc độ tối đa</x:v>
      </x:c>
      <x:c r="C9" s="7" t="str">
        <x:v>v</x:v>
      </x:c>
      <x:c r="D9" s="7"/>
      <x:c r="E9" s="8" t="n">
        <x:f>0.1+E5/100</x:f>
        <x:v>0.12000000000000001</x:v>
      </x:c>
      <x:c r="F9" s="7" t="str">
        <x:v>m/s</x:v>
      </x:c>
      <x:c r="G9" s="3"/>
      <x:c r="H9" s="3"/>
      <x:c r="I9" s="3" t="n">
        <x:v>5</x:v>
      </x:c>
      <x:c r="J9" s="3" t="str">
        <x:v>Tốc độ trung bình khi tăng tốc</x:v>
      </x:c>
      <x:c r="K9" s="3" t="str">
        <x:v>vtb1</x:v>
      </x:c>
      <x:c r="L9" s="3" t="str">
        <x:v>vtb1=s1/t1=1/2*a1*t1</x:v>
      </x:c>
      <x:c r="M9" s="4" t="n">
        <x:f>M6/2</x:f>
        <x:v>0.060000000000000005</x:v>
      </x:c>
      <x:c r="N9" s="3" t="str">
        <x:v>m/s</x:v>
      </x:c>
    </x:row>
    <x:row r="10" ht="32" customHeight="1">
      <x:c r="A10" s="7" t="n">
        <x:v>6</x:v>
      </x:c>
      <x:c r="B10" s="7" t="str">
        <x:v>Gia tốc cực đại</x:v>
      </x:c>
      <x:c r="C10" s="7" t="str">
        <x:v>a</x:v>
      </x:c>
      <x:c r="D10" s="7"/>
      <x:c r="E10" s="8" t="n">
        <x:v>0.5</x:v>
      </x:c>
      <x:c r="F10" s="7" t="str">
        <x:v>m/s^2</x:v>
      </x:c>
      <x:c r="G10" s="3"/>
      <x:c r="H10" s="3"/>
      <x:c r="I10" s="3" t="n">
        <x:v>6</x:v>
      </x:c>
      <x:c r="J10" s="3" t="str">
        <x:v>Công suất trung bình khi tăng tốc</x:v>
      </x:c>
      <x:c r="K10" s="3" t="str">
        <x:v>P1</x:v>
      </x:c>
      <x:c r="L10" s="3" t="str">
        <x:v>P1=Ft1*vtb1</x:v>
      </x:c>
      <x:c r="M10" s="4" t="n">
        <x:f>M8*M9</x:f>
        <x:v>1509.7060800000004</x:v>
      </x:c>
      <x:c r="N10" s="3" t="str">
        <x:v>W</x:v>
      </x:c>
    </x:row>
    <x:row r="11" ht="32" customHeight="1">
      <x:c r="A11" s="7" t="n">
        <x:v>7</x:v>
      </x:c>
      <x:c r="B11" s="7" t="str">
        <x:v>Độ giật cực đại</x:v>
      </x:c>
      <x:c r="C11" s="7" t="str">
        <x:v>rô</x:v>
      </x:c>
      <x:c r="D11" s="7"/>
      <x:c r="E11" s="8" t="n">
        <x:v>2</x:v>
      </x:c>
      <x:c r="F11" s="7" t="str">
        <x:v>m/s^3</x:v>
      </x:c>
      <x:c r="G11" s="3"/>
      <x:c r="H11" s="3"/>
      <x:c r="I11" s="3" t="n">
        <x:v>7</x:v>
      </x:c>
      <x:c r="J11" s="3" t="str">
        <x:v>Thời gian cđ thẳng đều</x:v>
      </x:c>
      <x:c r="K11" s="3" t="str">
        <x:v>t2</x:v>
      </x:c>
      <x:c r="L11" s="3"/>
      <x:c r="M11" s="4" t="n">
        <x:v>80</x:v>
      </x:c>
      <x:c r="N11" s="3" t="str">
        <x:v>s</x:v>
      </x:c>
    </x:row>
    <x:row r="12" ht="32" customHeight="1">
      <x:c r="A12" s="9" t="n">
        <x:v>8</x:v>
      </x:c>
      <x:c r="B12" s="9" t="str">
        <x:v>Đường kính bánh xe</x:v>
      </x:c>
      <x:c r="C12" s="9" t="str">
        <x:v>d</x:v>
      </x:c>
      <x:c r="D12" s="9"/>
      <x:c r="E12" s="10" t="n">
        <x:v>0.25</x:v>
      </x:c>
      <x:c r="F12" s="9" t="str">
        <x:v>m</x:v>
      </x:c>
      <x:c r="G12" s="3"/>
      <x:c r="H12" s="3"/>
      <x:c r="I12" s="3" t="n">
        <x:v>8</x:v>
      </x:c>
      <x:c r="J12" s="3" t="str">
        <x:v>Lực khi cđ đều</x:v>
      </x:c>
      <x:c r="K12" s="3" t="str">
        <x:v>F2</x:v>
      </x:c>
      <x:c r="L12" s="3" t="str">
        <x:v>F2=(M+m)*mu*g</x:v>
      </x:c>
      <x:c r="M12" s="4" t="n">
        <x:f>(E6+E7+E51)*E14*E17</x:f>
        <x:v>24415.128000000004</x:v>
      </x:c>
      <x:c r="N12" s="3" t="str">
        <x:v>N</x:v>
      </x:c>
    </x:row>
    <x:row r="13" ht="32" customHeight="1">
      <x:c r="A13" s="9" t="n">
        <x:v>9</x:v>
      </x:c>
      <x:c r="B13" s="9" t="str">
        <x:v>Tỷ số truyền</x:v>
      </x:c>
      <x:c r="C13" s="9" t="str">
        <x:v>i</x:v>
      </x:c>
      <x:c r="D13" s="9"/>
      <x:c r="E13" s="10" t="n">
        <x:v>100</x:v>
      </x:c>
      <x:c r="F13" s="9"/>
      <x:c r="G13" s="3"/>
      <x:c r="H13" s="3"/>
      <x:c r="I13" s="3" t="n">
        <x:v>9</x:v>
      </x:c>
      <x:c r="J13" s="3" t="str">
        <x:v>Công suất trung bình khi cđ đều</x:v>
      </x:c>
      <x:c r="K13" s="3" t="str">
        <x:v>P2</x:v>
      </x:c>
      <x:c r="L13" s="3" t="str">
        <x:v>P2=F2*v1</x:v>
      </x:c>
      <x:c r="M13" s="4" t="n">
        <x:f>M12*M6</x:f>
        <x:v>2929.815360000001</x:v>
      </x:c>
      <x:c r="N13" s="3" t="str">
        <x:v>W</x:v>
      </x:c>
    </x:row>
    <x:row r="14" ht="32" customHeight="1">
      <x:c r="A14" s="9" t="n">
        <x:v>10</x:v>
      </x:c>
      <x:c r="B14" s="9" t="str">
        <x:v>Hệ số ma sát trượt</x:v>
      </x:c>
      <x:c r="C14" s="9" t="str">
        <x:v>mu</x:v>
      </x:c>
      <x:c r="D14" s="9"/>
      <x:c r="E14" s="10" t="n">
        <x:v>0.2</x:v>
      </x:c>
      <x:c r="F14" s="9"/>
      <x:c r="G14" s="3"/>
      <x:c r="H14" s="3"/>
      <x:c r="I14" s="3" t="n">
        <x:v>10</x:v>
      </x:c>
      <x:c r="J14" s="3" t="str">
        <x:v>Thời gian giảm tốc</x:v>
      </x:c>
      <x:c r="K14" s="3" t="str">
        <x:v>t3</x:v>
      </x:c>
      <x:c r="L14" s="3"/>
      <x:c r="M14" s="4" t="n">
        <x:v>10</x:v>
      </x:c>
      <x:c r="N14" s="3" t="str">
        <x:v>s</x:v>
      </x:c>
    </x:row>
    <x:row r="15" ht="32" customHeight="1">
      <x:c r="A15" s="9" t="n">
        <x:v>11</x:v>
      </x:c>
      <x:c r="B15" s="9" t="str">
        <x:v>Hiệu suất truyền động</x:v>
      </x:c>
      <x:c r="C15" s="9" t="str">
        <x:v>eta</x:v>
      </x:c>
      <x:c r="D15" s="9"/>
      <x:c r="E15" s="10" t="n">
        <x:v>0.96</x:v>
      </x:c>
      <x:c r="F15" s="9"/>
      <x:c r="G15" s="3"/>
      <x:c r="H15" s="3"/>
      <x:c r="I15" s="3" t="n">
        <x:v>11</x:v>
      </x:c>
      <x:c r="J15" s="3" t="str">
        <x:v>Gia tốc khi giảm tốc</x:v>
      </x:c>
      <x:c r="K15" s="3" t="str">
        <x:v>a2</x:v>
      </x:c>
      <x:c r="L15" s="3" t="str">
        <x:v>a2=-v1/t3</x:v>
      </x:c>
      <x:c r="M15" s="4" t="n">
        <x:f>-M6/M14</x:f>
        <x:v>-0.012</x:v>
      </x:c>
      <x:c r="N15" s="3" t="str">
        <x:v>m/s^2</x:v>
      </x:c>
    </x:row>
    <x:row r="16" ht="32" customHeight="1">
      <x:c r="A16" s="9" t="n">
        <x:v>12</x:v>
      </x:c>
      <x:c r="B16" s="9" t="str">
        <x:v>Hệ số dự trữ</x:v>
      </x:c>
      <x:c r="C16" s="9" t="str">
        <x:v>k</x:v>
      </x:c>
      <x:c r="D16" s="9"/>
      <x:c r="E16" s="10" t="n">
        <x:v>1.2</x:v>
      </x:c>
      <x:c r="F16" s="9"/>
      <x:c r="G16" s="3"/>
      <x:c r="H16" s="3"/>
      <x:c r="I16" s="3" t="n">
        <x:v>12</x:v>
      </x:c>
      <x:c r="J16" s="3" t="str">
        <x:v>Lực khi giảm tốc</x:v>
      </x:c>
      <x:c r="K16" s="3" t="str">
        <x:v>Fg2</x:v>
      </x:c>
      <x:c r="L16" s="3" t="str">
        <x:v>Fg2=(M+m)*(mu*g+a2)</x:v>
      </x:c>
      <x:c r="M16" s="4" t="n">
        <x:f>(E6+E7+E51)*(E14*E17+M15)</x:f>
        <x:v>24265.800000000003</x:v>
      </x:c>
      <x:c r="N16" s="3" t="str">
        <x:v>N</x:v>
      </x:c>
    </x:row>
    <x:row r="17" ht="32" customHeight="1">
      <x:c r="A17" s="9" t="n">
        <x:v>13</x:v>
      </x:c>
      <x:c r="B17" s="9" t="str">
        <x:v>Gia tốc trọng trường</x:v>
      </x:c>
      <x:c r="C17" s="9" t="str">
        <x:v>g</x:v>
      </x:c>
      <x:c r="D17" s="9"/>
      <x:c r="E17" s="10" t="n">
        <x:v>9.81</x:v>
      </x:c>
      <x:c r="F17" s="9" t="str">
        <x:v>m/s^2</x:v>
      </x:c>
      <x:c r="G17" s="3"/>
      <x:c r="H17" s="3"/>
      <x:c r="I17" s="3" t="n">
        <x:v>13</x:v>
      </x:c>
      <x:c r="J17" s="3" t="str">
        <x:v>Tốc độ trung bình khi giảm tốc</x:v>
      </x:c>
      <x:c r="K17" s="3" t="str">
        <x:v>vtb2</x:v>
      </x:c>
      <x:c r="L17" s="3" t="str">
        <x:v>vtb2=-1/2*a2*t3</x:v>
      </x:c>
      <x:c r="M17" s="4" t="n">
        <x:f>M6/2</x:f>
        <x:v>0.060000000000000005</x:v>
      </x:c>
      <x:c r="N17" s="3" t="str">
        <x:v>m/s</x:v>
      </x:c>
    </x:row>
    <x:row r="18" ht="32" customHeight="1">
      <x:c r="A18" s="11" t="n">
        <x:v>14</x:v>
      </x:c>
      <x:c r="B18" s="11" t="str">
        <x:v>Lực phát động của động cơ</x:v>
      </x:c>
      <x:c r="C18" s="11" t="str">
        <x:v>F</x:v>
      </x:c>
      <x:c r="D18" s="11" t="str">
        <x:v>F=(M+m)*(mu*g+a)</x:v>
      </x:c>
      <x:c r="E18" s="12" t="n">
        <x:f>(E6+E7+E51)*(E14*E17+E10)</x:f>
        <x:v>30637.128</x:v>
      </x:c>
      <x:c r="F18" s="11" t="str">
        <x:v>N</x:v>
      </x:c>
      <x:c r="G18" s="3"/>
      <x:c r="H18" s="3"/>
      <x:c r="I18" s="3" t="n">
        <x:v>14</x:v>
      </x:c>
      <x:c r="J18" s="3" t="str">
        <x:v>Công suất trung bình khi giảm tốc</x:v>
      </x:c>
      <x:c r="K18" s="3" t="str">
        <x:v>P3</x:v>
      </x:c>
      <x:c r="L18" s="3" t="str">
        <x:v>P3=Fg2*vtb2</x:v>
      </x:c>
      <x:c r="M18" s="4" t="n">
        <x:f>M16*M17</x:f>
        <x:v>1455.9480000000003</x:v>
      </x:c>
      <x:c r="N18" s="3" t="str">
        <x:v>W</x:v>
      </x:c>
    </x:row>
    <x:row r="19" ht="32" customHeight="1">
      <x:c r="A19" s="11" t="n">
        <x:v>15</x:v>
      </x:c>
      <x:c r="B19" s="11" t="str">
        <x:v>Momen trên trục bánh xe</x:v>
      </x:c>
      <x:c r="C19" s="11" t="str">
        <x:v>T</x:v>
      </x:c>
      <x:c r="D19" s="11" t="str">
        <x:v>T=F*d/2</x:v>
      </x:c>
      <x:c r="E19" s="12" t="n">
        <x:f>E18*E12/2</x:f>
        <x:v>3829.641</x:v>
      </x:c>
      <x:c r="F19" s="11" t="str">
        <x:v>Nm</x:v>
      </x:c>
      <x:c r="G19" s="3"/>
      <x:c r="H19" s="3"/>
      <x:c r="I19" s="3" t="n">
        <x:v>15</x:v>
      </x:c>
      <x:c r="J19" s="3" t="str">
        <x:v>Thời gian nghỉ</x:v>
      </x:c>
      <x:c r="K19" s="3" t="str">
        <x:v>denta t</x:v>
      </x:c>
      <x:c r="L19" s="3"/>
      <x:c r="M19" s="4" t="n">
        <x:v>30</x:v>
      </x:c>
      <x:c r="N19" s="3" t="str">
        <x:v>s</x:v>
      </x:c>
    </x:row>
    <x:row r="20" ht="32" customHeight="1">
      <x:c r="A20" s="11" t="n">
        <x:v>16</x:v>
      </x:c>
      <x:c r="B20" s="11" t="str">
        <x:v>Momen trên trục động cơ</x:v>
      </x:c>
      <x:c r="C20" s="11" t="str">
        <x:v>Tdc</x:v>
      </x:c>
      <x:c r="D20" s="11" t="str">
        <x:v>Tdc=k*T/(eta*i)</x:v>
      </x:c>
      <x:c r="E20" s="12" t="n">
        <x:f>E16*E19/(E15*E13)</x:f>
        <x:v>47.8705125</x:v>
      </x:c>
      <x:c r="F20" s="11" t="str">
        <x:v>Nm</x:v>
      </x:c>
      <x:c r="G20" s="3"/>
      <x:c r="H20" s="3" t="str">
        <x:v>Không tải</x:v>
      </x:c>
      <x:c r="I20" s="3" t="n">
        <x:v>16</x:v>
      </x:c>
      <x:c r="J20" s="3" t="str">
        <x:v>Thời gian tăng tốc</x:v>
      </x:c>
      <x:c r="K20" s="3" t="str">
        <x:v>t4</x:v>
      </x:c>
      <x:c r="L20" s="3"/>
      <x:c r="M20" s="4" t="n">
        <x:v>2</x:v>
      </x:c>
      <x:c r="N20" s="3" t="str">
        <x:v>s</x:v>
      </x:c>
    </x:row>
    <x:row r="21" ht="32" customHeight="1">
      <x:c r="A21" s="11" t="n">
        <x:v>17</x:v>
      </x:c>
      <x:c r="B21" s="11" t="str">
        <x:v>Tốc độ góc bánh xe</x:v>
      </x:c>
      <x:c r="C21" s="11" t="str">
        <x:v>omega</x:v>
      </x:c>
      <x:c r="D21" s="11" t="str">
        <x:v>omega=2*v/d</x:v>
      </x:c>
      <x:c r="E21" s="12" t="n">
        <x:f>2*E9/E12</x:f>
        <x:v>0.9600000000000001</x:v>
      </x:c>
      <x:c r="F21" s="11" t="str">
        <x:v>rad/s</x:v>
      </x:c>
      <x:c r="G21" s="3"/>
      <x:c r="H21" s="3"/>
      <x:c r="I21" s="3" t="n">
        <x:v>17</x:v>
      </x:c>
      <x:c r="J21" s="3" t="str">
        <x:v>Tăng đến giá trị vận tốc</x:v>
      </x:c>
      <x:c r="K21" s="3" t="str">
        <x:v>v1</x:v>
      </x:c>
      <x:c r="L21" s="3"/>
      <x:c r="M21" s="4" t="n">
        <x:f>E9</x:f>
        <x:v>0.12000000000000001</x:v>
      </x:c>
      <x:c r="N21" s="3" t="str">
        <x:v>m/s</x:v>
      </x:c>
    </x:row>
    <x:row r="22" ht="32" customHeight="1">
      <x:c r="A22" s="11" t="n">
        <x:v>18</x:v>
      </x:c>
      <x:c r="B22" s="11" t="str">
        <x:v>Tốc độ quay bánh xe</x:v>
      </x:c>
      <x:c r="C22" s="11" t="str">
        <x:v>n</x:v>
      </x:c>
      <x:c r="D22" s="11" t="str">
        <x:v>n=(60*omega/2pi)</x:v>
      </x:c>
      <x:c r="E22" s="12" t="n">
        <x:f>60*E21/(2*PI())</x:f>
        <x:v>9.167324722093172</x:v>
      </x:c>
      <x:c r="F22" s="11" t="str">
        <x:v>rpm</x:v>
      </x:c>
      <x:c r="G22" s="3"/>
      <x:c r="H22" s="3"/>
      <x:c r="I22" s="3" t="n">
        <x:v>18</x:v>
      </x:c>
      <x:c r="J22" s="3" t="str">
        <x:v>Gia tốc khi tăng tốc</x:v>
      </x:c>
      <x:c r="K22" s="3" t="str">
        <x:v>a3</x:v>
      </x:c>
      <x:c r="L22" s="3" t="str">
        <x:v>a3=v1/t4</x:v>
      </x:c>
      <x:c r="M22" s="4" t="n">
        <x:f>M21/M20</x:f>
        <x:v>0.060000000000000005</x:v>
      </x:c>
      <x:c r="N22" s="3" t="str">
        <x:v>m/s^2</x:v>
      </x:c>
    </x:row>
    <x:row r="23" ht="32" customHeight="1">
      <x:c r="A23" s="11" t="n">
        <x:v>19</x:v>
      </x:c>
      <x:c r="B23" s="11" t="str">
        <x:v>Tốc độ quay động cơ</x:v>
      </x:c>
      <x:c r="C23" s="11" t="str">
        <x:v>ndc</x:v>
      </x:c>
      <x:c r="D23" s="11" t="str">
        <x:v>ndc=n*i</x:v>
      </x:c>
      <x:c r="E23" s="12" t="n">
        <x:f>E22*E13</x:f>
        <x:v>916.7324722093172</x:v>
      </x:c>
      <x:c r="F23" s="11" t="str">
        <x:v>rpm</x:v>
      </x:c>
      <x:c r="G23" s="3"/>
      <x:c r="H23" s="3"/>
      <x:c r="I23" s="3" t="n">
        <x:v>19</x:v>
      </x:c>
      <x:c r="J23" s="3" t="str">
        <x:v>Lực khi tăng tốc</x:v>
      </x:c>
      <x:c r="K23" s="3" t="str">
        <x:v>Ft2</x:v>
      </x:c>
      <x:c r="L23" s="3" t="str">
        <x:v>Ft2=m*(mu*g+a3)</x:v>
      </x:c>
      <x:c r="M23" s="4" t="n">
        <x:f>(E7+E51)*(E14*E17+M22)</x:f>
        <x:v>448.88400000000007</x:v>
      </x:c>
      <x:c r="N23" s="3" t="str">
        <x:v>N</x:v>
      </x:c>
    </x:row>
    <x:row r="24" ht="32" customHeight="1">
      <x:c r="A24" s="11" t="n">
        <x:v>20</x:v>
      </x:c>
      <x:c r="B24" s="11" t="str">
        <x:v>Công suất động cơ cần thiết</x:v>
      </x:c>
      <x:c r="C24" s="11" t="str">
        <x:v>P</x:v>
      </x:c>
      <x:c r="D24" s="11" t="str">
        <x:v>P = M_motor × ω_motor; η đã tính ở E20</x:v>
      </x:c>
      <x:c r="E24" s="12" t="n">
        <x:f>E20*2*PI()*E23/60</x:f>
        <x:v>4595.5692</x:v>
      </x:c>
      <x:c r="F24" s="11" t="str">
        <x:v>W</x:v>
      </x:c>
      <x:c r="G24" s="3"/>
      <x:c r="H24" s="3"/>
      <x:c r="I24" s="3" t="n">
        <x:v>20</x:v>
      </x:c>
      <x:c r="J24" s="3" t="str">
        <x:v>Tốc độ trung bình khi tăng tốc</x:v>
      </x:c>
      <x:c r="K24" s="3" t="str">
        <x:v>vtb3</x:v>
      </x:c>
      <x:c r="L24" s="3" t="str">
        <x:v>vtb3=1/2*a3*t4</x:v>
      </x:c>
      <x:c r="M24" s="4" t="n">
        <x:f>M21/2</x:f>
        <x:v>0.060000000000000005</x:v>
      </x:c>
      <x:c r="N24" s="3" t="str">
        <x:v>m/s</x:v>
      </x:c>
    </x:row>
    <x:row r="25" ht="32" customHeight="1">
      <x:c r="A25" s="3"/>
      <x:c r="B25" s="3"/>
      <x:c r="C25" s="3"/>
      <x:c r="D25" s="3"/>
      <x:c r="E25" s="4"/>
      <x:c r="F25" s="3"/>
      <x:c r="G25" s="3"/>
      <x:c r="H25" s="3"/>
      <x:c r="I25" s="3" t="n">
        <x:v>21</x:v>
      </x:c>
      <x:c r="J25" s="3" t="str">
        <x:v>Công suất trung bình khi tăng tốc</x:v>
      </x:c>
      <x:c r="K25" s="3" t="str">
        <x:v>P4</x:v>
      </x:c>
      <x:c r="L25" s="3" t="str">
        <x:v>P4=Ft2*vtb3</x:v>
      </x:c>
      <x:c r="M25" s="4" t="n">
        <x:f>M23*M24</x:f>
        <x:v>26.933040000000005</x:v>
      </x:c>
      <x:c r="N25" s="3" t="str">
        <x:v>W</x:v>
      </x:c>
    </x:row>
    <x:row r="26" ht="32" customHeight="1">
      <x:c r="A26" s="3"/>
      <x:c r="B26" s="3" t="str">
        <x:v>Cần lựa chọn động cơ thỏa mãn</x:v>
      </x:c>
      <x:c r="C26" s="3" t="str">
        <x:v>P&gt;</x:v>
      </x:c>
      <x:c r="D26" s="3" t="n">
        <x:f>MAX(E24,M38)</x:f>
        <x:v>4595.5692</x:v>
      </x:c>
      <x:c r="E26" s="4" t="str">
        <x:v>W</x:v>
      </x:c>
      <x:c r="F26" s="3"/>
      <x:c r="G26" s="3"/>
      <x:c r="H26" s="3"/>
      <x:c r="I26" s="3" t="n">
        <x:v>22</x:v>
      </x:c>
      <x:c r="J26" s="3" t="str">
        <x:v>Thời gian cđ thẳng đều</x:v>
      </x:c>
      <x:c r="K26" s="3" t="str">
        <x:v>t5</x:v>
      </x:c>
      <x:c r="L26" s="3"/>
      <x:c r="M26" s="4" t="n">
        <x:f>M11+(M5+M14-M20-M29)/2</x:f>
        <x:v>82.5</x:v>
      </x:c>
      <x:c r="N26" s="3" t="str">
        <x:v>s</x:v>
      </x:c>
    </x:row>
    <x:row r="27" ht="32" customHeight="1">
      <x:c r="A27" s="3"/>
      <x:c r="B27" s="3" t="str">
        <x:v>Motor tham khảo M3AA 132ME 6 theo sheet x=1</x:v>
      </x:c>
      <x:c r="C27" s="3" t="str">
        <x:v>ndc&gt;</x:v>
      </x:c>
      <x:c r="D27" s="3" t="n">
        <x:f>E23</x:f>
        <x:v>916.7324722093172</x:v>
      </x:c>
      <x:c r="E27" s="4" t="str">
        <x:v>rpm</x:v>
      </x:c>
      <x:c r="F27" s="3"/>
      <x:c r="G27" s="3"/>
      <x:c r="H27" s="3"/>
      <x:c r="I27" s="3" t="n">
        <x:v>23</x:v>
      </x:c>
      <x:c r="J27" s="3" t="str">
        <x:v>Lực khi cđ đều</x:v>
      </x:c>
      <x:c r="K27" s="3" t="str">
        <x:v>F2</x:v>
      </x:c>
      <x:c r="L27" s="3" t="str">
        <x:v>F2=m*mu*g</x:v>
      </x:c>
      <x:c r="M27" s="4" t="n">
        <x:f>(E7+E51)*E14*E17</x:f>
        <x:v>435.5640000000001</x:v>
      </x:c>
      <x:c r="N27" s="3" t="str">
        <x:v>N</x:v>
      </x:c>
    </x:row>
    <x:row r="28" ht="32" customHeight="1">
      <x:c r="A28" s="3"/>
      <x:c r="B28" s="3"/>
      <x:c r="C28" s="3" t="str">
        <x:v>Tdc&gt;</x:v>
      </x:c>
      <x:c r="D28" s="3" t="n">
        <x:f>E20</x:f>
        <x:v>47.8705125</x:v>
      </x:c>
      <x:c r="E28" s="4" t="str">
        <x:v>Nm</x:v>
      </x:c>
      <x:c r="F28" s="3"/>
      <x:c r="G28" s="3"/>
      <x:c r="H28" s="3"/>
      <x:c r="I28" s="3" t="n">
        <x:v>24</x:v>
      </x:c>
      <x:c r="J28" s="3" t="str">
        <x:v>Công suất trung bình khi cđ đều</x:v>
      </x:c>
      <x:c r="K28" s="3" t="str">
        <x:v>P5</x:v>
      </x:c>
      <x:c r="L28" s="3" t="str">
        <x:v>P5=F2*v1</x:v>
      </x:c>
      <x:c r="M28" s="4" t="n">
        <x:f>M27*M21</x:f>
        <x:v>52.26768000000001</x:v>
      </x:c>
      <x:c r="N28" s="3" t="str">
        <x:v>W</x:v>
      </x:c>
    </x:row>
    <x:row r="29" ht="32" customHeight="1">
      <x:c r="A29" s="3"/>
      <x:c r="B29" s="3"/>
      <x:c r="C29" s="3"/>
      <x:c r="D29" s="3"/>
      <x:c r="E29" s="4"/>
      <x:c r="F29" s="3"/>
      <x:c r="G29" s="3"/>
      <x:c r="H29" s="3"/>
      <x:c r="I29" s="3" t="n">
        <x:v>25</x:v>
      </x:c>
      <x:c r="J29" s="3" t="str">
        <x:v>Thời gian giảm tốc</x:v>
      </x:c>
      <x:c r="K29" s="3" t="str">
        <x:v>t6</x:v>
      </x:c>
      <x:c r="L29" s="3"/>
      <x:c r="M29" s="4" t="n">
        <x:v>5</x:v>
      </x:c>
      <x:c r="N29" s="3" t="str">
        <x:v>s</x:v>
      </x:c>
    </x:row>
    <x:row r="30" ht="32" customHeight="1">
      <x:c r="A30" s="3"/>
      <x:c r="B30" s="3"/>
      <x:c r="C30" s="3"/>
      <x:c r="D30" s="3"/>
      <x:c r="E30" s="4"/>
      <x:c r="F30" s="3"/>
      <x:c r="G30" s="3"/>
      <x:c r="H30" s="3"/>
      <x:c r="I30" s="3" t="n">
        <x:v>26</x:v>
      </x:c>
      <x:c r="J30" s="3" t="str">
        <x:v>Gia tốc khi giảm tốc</x:v>
      </x:c>
      <x:c r="K30" s="3" t="str">
        <x:v>a4</x:v>
      </x:c>
      <x:c r="L30" s="3" t="str">
        <x:v>a4=-v1/t6</x:v>
      </x:c>
      <x:c r="M30" s="4" t="n">
        <x:f>-M21/M29</x:f>
        <x:v>-0.024</x:v>
      </x:c>
      <x:c r="N30" s="3" t="str">
        <x:v>m/s^2</x:v>
      </x:c>
    </x:row>
    <x:row r="31" ht="32" customHeight="1">
      <x:c r="A31" s="3" t="str">
        <x:v>Thông số động cơ</x:v>
      </x:c>
      <x:c r="B31" s="3"/>
      <x:c r="C31" s="3"/>
      <x:c r="D31" s="3"/>
      <x:c r="E31" s="4"/>
      <x:c r="F31" s="3"/>
      <x:c r="G31" s="3"/>
      <x:c r="H31" s="3"/>
      <x:c r="I31" s="3" t="n">
        <x:v>27</x:v>
      </x:c>
      <x:c r="J31" s="3" t="str">
        <x:v>Lực khi giảm tốc</x:v>
      </x:c>
      <x:c r="K31" s="3" t="str">
        <x:v>Fg2</x:v>
      </x:c>
      <x:c r="L31" s="3" t="str">
        <x:v>Fg2=m*(mu*g+a4)</x:v>
      </x:c>
      <x:c r="M31" s="4" t="n">
        <x:f>(E7+E51)*(E14*E17+M30)</x:f>
        <x:v>430.23600000000005</x:v>
      </x:c>
      <x:c r="N31" s="3" t="str">
        <x:v>N</x:v>
      </x:c>
    </x:row>
    <x:row r="32" ht="32" customHeight="1">
      <x:c r="A32" s="5" t="str">
        <x:v>STT</x:v>
      </x:c>
      <x:c r="B32" s="5" t="str">
        <x:v>Thông số</x:v>
      </x:c>
      <x:c r="C32" s="5" t="str">
        <x:v>Giá trị</x:v>
      </x:c>
      <x:c r="D32" s="5" t="str">
        <x:v>Đơn vị</x:v>
      </x:c>
      <x:c r="E32" s="6" t="str">
        <x:v>Ký hiệu</x:v>
      </x:c>
      <x:c r="F32" s="5"/>
      <x:c r="G32" s="3"/>
      <x:c r="H32" s="3"/>
      <x:c r="I32" s="3" t="n">
        <x:v>28</x:v>
      </x:c>
      <x:c r="J32" s="3" t="str">
        <x:v>Tốc độ trung bình khi giảm tốc</x:v>
      </x:c>
      <x:c r="K32" s="3" t="str">
        <x:v>vtb4</x:v>
      </x:c>
      <x:c r="L32" s="3" t="str">
        <x:v>vtb4=-1/2*a4*t6</x:v>
      </x:c>
      <x:c r="M32" s="4" t="n">
        <x:f>M21/2</x:f>
        <x:v>0.060000000000000005</x:v>
      </x:c>
      <x:c r="N32" s="3" t="str">
        <x:v>m/s</x:v>
      </x:c>
    </x:row>
    <x:row r="33" ht="32" customHeight="1">
      <x:c r="A33" s="3"/>
      <x:c r="B33" s="3"/>
      <x:c r="C33" s="3"/>
      <x:c r="D33" s="3"/>
      <x:c r="E33" s="4"/>
      <x:c r="F33" s="3"/>
      <x:c r="G33" s="3"/>
      <x:c r="H33" s="3"/>
      <x:c r="I33" s="3" t="n">
        <x:v>29</x:v>
      </x:c>
      <x:c r="J33" s="3" t="str">
        <x:v>Công suất trung bình khi giảm tốc</x:v>
      </x:c>
      <x:c r="K33" s="3" t="str">
        <x:v>P6</x:v>
      </x:c>
      <x:c r="L33" s="3" t="str">
        <x:v>P6=Fg2*vtb4</x:v>
      </x:c>
      <x:c r="M33" s="4" t="n">
        <x:f>M31*M32</x:f>
        <x:v>25.814160000000005</x:v>
      </x:c>
      <x:c r="N33" s="3" t="str">
        <x:v>W</x:v>
      </x:c>
    </x:row>
    <x:row r="34" ht="32" customHeight="1">
      <x:c r="A34" s="3" t="n">
        <x:v>1</x:v>
      </x:c>
      <x:c r="B34" s="3" t="str">
        <x:v>Công suất định mức</x:v>
      </x:c>
      <x:c r="C34" s="3" t="n">
        <x:v>5.5</x:v>
      </x:c>
      <x:c r="D34" s="3" t="str">
        <x:v>kW</x:v>
      </x:c>
      <x:c r="E34" s="4" t="str">
        <x:v>Pđm</x:v>
      </x:c>
      <x:c r="F34" s="3"/>
      <x:c r="G34" s="3"/>
      <x:c r="H34" s="3"/>
      <x:c r="I34" s="3" t="n">
        <x:v>30</x:v>
      </x:c>
      <x:c r="J34" s="3" t="str">
        <x:v>Công suất hiệu dụng trục motor S-curve</x:v>
      </x:c>
      <x:c r="K34" s="3" t="str">
        <x:v>Phd</x:v>
      </x:c>
      <x:c r="L34" s="3" t="str">
        <x:v>sqrt(∫ P_motor² dt / Tck)</x:v>
      </x:c>
      <x:c r="M34" s="4" t="n">
        <x:f>Chu_ky!B25</x:f>
        <x:v>1924.6694715794124</x:v>
      </x:c>
      <x:c r="N34" s="3" t="str">
        <x:v>W</x:v>
      </x:c>
    </x:row>
    <x:row r="35" ht="32" customHeight="1">
      <x:c r="A35" s="3" t="n">
        <x:v>2</x:v>
      </x:c>
      <x:c r="B35" s="3" t="str">
        <x:v>Điện áp dây định mức</x:v>
      </x:c>
      <x:c r="C35" s="3" t="n">
        <x:v>400</x:v>
      </x:c>
      <x:c r="D35" s="3" t="str">
        <x:v>V</x:v>
      </x:c>
      <x:c r="E35" s="4" t="str">
        <x:v>U1đm</x:v>
      </x:c>
      <x:c r="F35" s="3"/>
      <x:c r="G35" s="3"/>
      <x:c r="H35" s="3"/>
      <x:c r="I35" s="3" t="n">
        <x:v>31</x:v>
      </x:c>
      <x:c r="J35" s="3" t="str">
        <x:v>Tốc độ góc motor làm việc</x:v>
      </x:c>
      <x:c r="K35" s="3" t="str">
        <x:v>omega m</x:v>
      </x:c>
      <x:c r="L35" s="3" t="str">
        <x:v>omega m=v/r*i=2v*i/d</x:v>
      </x:c>
      <x:c r="M35" s="4" t="n">
        <x:f>2*E9*E13/E12</x:f>
        <x:v>96.00000000000001</x:v>
      </x:c>
      <x:c r="N35" s="3" t="str">
        <x:v>rad/s</x:v>
      </x:c>
    </x:row>
    <x:row r="36" ht="32" customHeight="1">
      <x:c r="A36" s="3" t="n">
        <x:v>3</x:v>
      </x:c>
      <x:c r="B36" s="3" t="str">
        <x:v>Tốc độ định mức</x:v>
      </x:c>
      <x:c r="C36" s="3" t="n">
        <x:v>973</x:v>
      </x:c>
      <x:c r="D36" s="3" t="str">
        <x:v>r/min</x:v>
      </x:c>
      <x:c r="E36" s="4" t="str">
        <x:v>nđm</x:v>
      </x:c>
      <x:c r="F36" s="3"/>
      <x:c r="G36" s="3"/>
      <x:c r="H36" s="3"/>
      <x:c r="I36" s="3" t="n">
        <x:v>31</x:v>
      </x:c>
      <x:c r="J36" s="3" t="str">
        <x:v>Mô-men RMS motor S-curve</x:v>
      </x:c>
      <x:c r="K36" s="3" t="str">
        <x:v>Thd</x:v>
      </x:c>
      <x:c r="L36" s="3" t="str">
        <x:v>sqrt(∫ M_motor² dt / Tck)</x:v>
      </x:c>
      <x:c r="M36" s="4" t="n">
        <x:f>Chu_ky!B26</x:f>
        <x:v>20.973820904570346</x:v>
      </x:c>
      <x:c r="N36" s="3" t="str">
        <x:v>Nm</x:v>
      </x:c>
    </x:row>
    <x:row r="37" ht="32" customHeight="1">
      <x:c r="A37" s="3" t="n">
        <x:v>4</x:v>
      </x:c>
      <x:c r="B37" s="3" t="str">
        <x:v>Hiệu suất 100% tải</x:v>
      </x:c>
      <x:c r="C37" s="3" t="n">
        <x:v>89.5</x:v>
      </x:c>
      <x:c r="D37" s="3" t="str">
        <x:v>%</x:v>
      </x:c>
      <x:c r="E37" s="4" t="str">
        <x:v>eta</x:v>
      </x:c>
      <x:c r="F37" s="3"/>
      <x:c r="G37" s="3"/>
      <x:c r="H37" s="3"/>
      <x:c r="I37" s="3" t="n">
        <x:v>32</x:v>
      </x:c>
      <x:c r="J37" s="3" t="str">
        <x:v>Mô-men yêu cầu đỉnh theo quỹ đạo</x:v>
      </x:c>
      <x:c r="K37" s="3" t="str">
        <x:v>Tm</x:v>
      </x:c>
      <x:c r="L37" s="3" t="str">
        <x:v>Gồm quán tính rotor; xem Chu_ky</x:v>
      </x:c>
      <x:c r="M37" s="4" t="n">
        <x:f>Chu_ky!B27</x:f>
        <x:v>35.04103125</x:v>
      </x:c>
      <x:c r="N37" s="3" t="str">
        <x:v>Nm</x:v>
      </x:c>
    </x:row>
    <x:row r="38" ht="32" customHeight="1">
      <x:c r="A38" s="3" t="n">
        <x:v>5</x:v>
      </x:c>
      <x:c r="B38" s="3" t="str">
        <x:v>Hiệu suất 75% tải</x:v>
      </x:c>
      <x:c r="C38" s="3" t="n">
        <x:v>90.2</x:v>
      </x:c>
      <x:c r="D38" s="3" t="str">
        <x:v>%</x:v>
      </x:c>
      <x:c r="E38" s="4"/>
      <x:c r="F38" s="3"/>
      <x:c r="G38" s="3"/>
      <x:c r="H38" s="3"/>
      <x:c r="I38" s="3" t="n">
        <x:v>33</x:v>
      </x:c>
      <x:c r="J38" s="3" t="str">
        <x:v>Công suất hiệu dụng có dự trữ</x:v>
      </x:c>
      <x:c r="K38" s="3" t="str">
        <x:v>Pchon</x:v>
      </x:c>
      <x:c r="L38" s="3" t="str">
        <x:v>k × P_hd,motor; không chia η thêm</x:v>
      </x:c>
      <x:c r="M38" s="4" t="n">
        <x:f>E16*M34</x:f>
        <x:v>2309.6033658952947</x:v>
      </x:c>
      <x:c r="N38" s="3" t="str">
        <x:v>W</x:v>
      </x:c>
    </x:row>
    <x:row r="39" ht="32" customHeight="1">
      <x:c r="A39" s="3"/>
      <x:c r="B39" s="3" t="str">
        <x:v>Hiệu suất 50% tải</x:v>
      </x:c>
      <x:c r="C39" s="3" t="n">
        <x:v>89.6</x:v>
      </x:c>
      <x:c r="D39" s="3" t="str">
        <x:v>%</x:v>
      </x:c>
      <x:c r="E39" s="4"/>
      <x:c r="F39" s="3"/>
      <x:c r="G39" s="3"/>
      <x:c r="H39" s="3"/>
      <x:c r="I39" s="3"/>
      <x:c r="J39" s="3"/>
      <x:c r="K39" s="3"/>
      <x:c r="L39" s="3"/>
      <x:c r="M39" s="4"/>
      <x:c r="N39" s="3"/>
    </x:row>
    <x:row r="40" ht="32" customHeight="1">
      <x:c r="A40" s="3" t="n">
        <x:v>6</x:v>
      </x:c>
      <x:c r="B40" s="3" t="str">
        <x:v>Hệ số công suất</x:v>
      </x:c>
      <x:c r="C40" s="3" t="n">
        <x:v>0.74</x:v>
      </x:c>
      <x:c r="D40" s="3"/>
      <x:c r="E40" s="4" t="str">
        <x:v>cosphi</x:v>
      </x:c>
      <x:c r="F40" s="3"/>
      <x:c r="G40" s="3"/>
      <x:c r="H40" s="3"/>
      <x:c r="I40" s="3"/>
      <x:c r="J40" s="3" t="str">
        <x:v>Công suất RMS theo P trung bình kiểu mẫu</x:v>
      </x:c>
      <x:c r="K40" s="3"/>
      <x:c r="L40" s="3"/>
      <x:c r="M40" s="4" t="n">
        <x:f>SQRT((M10^2*M5+M13^2*M11+M18^2*M14+M25^2*M20+M28^2*M26+M33^2*M29)/(M5+M11+M14+M19+M20+M26+M29))/E15</x:f>
        <x:v>1912.161132583453</x:v>
      </x:c>
      <x:c r="N40" s="3" t="str">
        <x:v>W</x:v>
      </x:c>
    </x:row>
    <x:row r="41" ht="32" customHeight="1">
      <x:c r="A41" s="3" t="n">
        <x:v>7</x:v>
      </x:c>
      <x:c r="B41" s="3" t="str">
        <x:v>Dòng điện stator định mức</x:v>
      </x:c>
      <x:c r="C41" s="3" t="n">
        <x:v>12</x:v>
      </x:c>
      <x:c r="D41" s="3" t="str">
        <x:v>A</x:v>
      </x:c>
      <x:c r="E41" s="4" t="str">
        <x:v>I1đm</x:v>
      </x:c>
      <x:c r="F41" s="3"/>
      <x:c r="G41" s="3"/>
      <x:c r="H41" s="3"/>
      <x:c r="I41" s="3"/>
      <x:c r="J41" s="3" t="str">
        <x:v>Hành trình có tải</x:v>
      </x:c>
      <x:c r="K41" s="3"/>
      <x:c r="L41" s="3"/>
      <x:c r="M41" s="4" t="n">
        <x:f>E9*(M11+(M5+M14)/2)</x:f>
        <x:v>10.32</x:v>
      </x:c>
      <x:c r="N41" s="3" t="str">
        <x:v>m</x:v>
      </x:c>
    </x:row>
    <x:row r="42" ht="32" customHeight="1">
      <x:c r="A42" s="3" t="n">
        <x:v>8</x:v>
      </x:c>
      <x:c r="B42" s="3" t="str">
        <x:v>Dòng điện stator khởi động</x:v>
      </x:c>
      <x:c r="C42" s="3" t="n">
        <x:f>C41*5.8</x:f>
        <x:v>69.6</x:v>
      </x:c>
      <x:c r="D42" s="3" t="str">
        <x:v>A</x:v>
      </x:c>
      <x:c r="E42" s="4" t="str">
        <x:v>Is</x:v>
      </x:c>
      <x:c r="F42" s="3"/>
      <x:c r="G42" s="3"/>
      <x:c r="H42" s="3"/>
      <x:c r="I42" s="3"/>
      <x:c r="J42" s="3" t="str">
        <x:v>Hành trình không tải</x:v>
      </x:c>
      <x:c r="K42" s="3"/>
      <x:c r="L42" s="3"/>
      <x:c r="M42" s="4" t="n">
        <x:f>E9*(M26+(M20+M29)/2)</x:f>
        <x:v>10.32</x:v>
      </x:c>
      <x:c r="N42" s="3" t="str">
        <x:v>m</x:v>
      </x:c>
    </x:row>
    <x:row r="43" ht="32" customHeight="1">
      <x:c r="A43" s="3" t="n">
        <x:v>9</x:v>
      </x:c>
      <x:c r="B43" s="3" t="str">
        <x:v>Momen định mức</x:v>
      </x:c>
      <x:c r="C43" s="3" t="n">
        <x:v>53.9</x:v>
      </x:c>
      <x:c r="D43" s="3" t="str">
        <x:v>Nm</x:v>
      </x:c>
      <x:c r="E43" s="4" t="str">
        <x:v>Tn</x:v>
      </x:c>
      <x:c r="F43" s="3"/>
      <x:c r="G43" s="3"/>
      <x:c r="H43" s="3"/>
      <x:c r="I43" s="3"/>
      <x:c r="J43" s="3" t="str">
        <x:v>Công suất nếu lặp lỗi chia η hai lần</x:v>
      </x:c>
      <x:c r="K43" s="3"/>
      <x:c r="L43" s="3"/>
      <x:c r="M43" s="4" t="n">
        <x:f>E24/E15</x:f>
        <x:v>4787.05125</x:v>
      </x:c>
      <x:c r="N43" s="3" t="str">
        <x:v>W</x:v>
      </x:c>
    </x:row>
    <x:row r="44" ht="32" customHeight="1">
      <x:c r="A44" s="3" t="n">
        <x:v>10</x:v>
      </x:c>
      <x:c r="B44" s="3" t="str">
        <x:v>Momen khởi động</x:v>
      </x:c>
      <x:c r="C44" s="3" t="n">
        <x:f>C43*2</x:f>
        <x:v>107.8</x:v>
      </x:c>
      <x:c r="D44" s="3" t="str">
        <x:v>Nm</x:v>
      </x:c>
      <x:c r="E44" s="4" t="str">
        <x:v>Ts</x:v>
      </x:c>
      <x:c r="F44" s="3"/>
      <x:c r="G44" s="3"/>
      <x:c r="H44" s="3"/>
      <x:c r="I44" s="3"/>
      <x:c r="J44" s="3"/>
      <x:c r="K44" s="3"/>
      <x:c r="L44" s="3"/>
      <x:c r="M44" s="4"/>
      <x:c r="N44" s="3"/>
    </x:row>
    <x:row r="45" ht="32" customHeight="1">
      <x:c r="A45" s="3" t="n">
        <x:v>11</x:v>
      </x:c>
      <x:c r="B45" s="3" t="str">
        <x:v>Momen tới hạn</x:v>
      </x:c>
      <x:c r="C45" s="3" t="n">
        <x:f>C43*2.9</x:f>
        <x:v>156.31</x:v>
      </x:c>
      <x:c r="D45" s="3" t="str">
        <x:v>Nm</x:v>
      </x:c>
      <x:c r="E45" s="4" t="str">
        <x:v>Tmax</x:v>
      </x:c>
      <x:c r="F45" s="3"/>
      <x:c r="G45" s="3"/>
      <x:c r="H45" s="3"/>
      <x:c r="I45" s="3"/>
      <x:c r="J45" s="3"/>
      <x:c r="K45" s="3"/>
      <x:c r="L45" s="3"/>
      <x:c r="M45" s="4"/>
      <x:c r="N45" s="3"/>
    </x:row>
    <x:row r="46" ht="32" customHeight="1">
      <x:c r="A46" s="3" t="n">
        <x:v>12</x:v>
      </x:c>
      <x:c r="B46" s="3" t="str">
        <x:v>Tần số định mức</x:v>
      </x:c>
      <x:c r="C46" s="3" t="n">
        <x:v>50</x:v>
      </x:c>
      <x:c r="D46" s="3" t="str">
        <x:v>Hz</x:v>
      </x:c>
      <x:c r="E46" s="4"/>
      <x:c r="F46" s="3"/>
      <x:c r="G46" s="3"/>
      <x:c r="H46" s="3"/>
      <x:c r="I46" s="3"/>
      <x:c r="J46" s="3"/>
      <x:c r="K46" s="3"/>
      <x:c r="L46" s="3"/>
      <x:c r="M46" s="4"/>
      <x:c r="N46" s="3"/>
    </x:row>
    <x:row r="47" ht="32" customHeight="1">
      <x:c r="A47" s="3" t="n">
        <x:v>13</x:v>
      </x:c>
      <x:c r="B47" s="3" t="str">
        <x:v>Số cặp cực</x:v>
      </x:c>
      <x:c r="C47" s="3" t="n">
        <x:v>3</x:v>
      </x:c>
      <x:c r="D47" s="3" t="str">
        <x:v>cặp</x:v>
      </x:c>
      <x:c r="E47" s="4"/>
      <x:c r="F47" s="3"/>
      <x:c r="G47" s="3"/>
      <x:c r="H47" s="3"/>
      <x:c r="I47" s="3"/>
      <x:c r="J47" s="3"/>
      <x:c r="K47" s="3"/>
      <x:c r="L47" s="3"/>
      <x:c r="M47" s="4"/>
      <x:c r="N47" s="3"/>
    </x:row>
    <x:row r="48" ht="32" customHeight="1">
      <x:c r="A48" s="3" t="n">
        <x:v>14</x:v>
      </x:c>
      <x:c r="B48" s="3" t="str">
        <x:v>Momen quán tính</x:v>
      </x:c>
      <x:c r="C48" s="3" t="n">
        <x:v>0.039</x:v>
      </x:c>
      <x:c r="D48" s="3" t="str">
        <x:v>kgm^2</x:v>
      </x:c>
      <x:c r="E48" s="4" t="str">
        <x:v>J</x:v>
      </x:c>
      <x:c r="F48" s="3"/>
      <x:c r="G48" s="3"/>
      <x:c r="H48" s="3"/>
      <x:c r="I48" s="3"/>
      <x:c r="J48" s="3"/>
      <x:c r="K48" s="3"/>
      <x:c r="L48" s="3"/>
      <x:c r="M48" s="4"/>
      <x:c r="N48" s="3"/>
    </x:row>
    <x:row r="49" ht="32" customHeight="1">
      <x:c r="A49" s="3" t="n">
        <x:v>15</x:v>
      </x:c>
      <x:c r="B49" s="3" t="str">
        <x:v>Khối lượng</x:v>
      </x:c>
      <x:c r="C49" s="3" t="n">
        <x:v>63</x:v>
      </x:c>
      <x:c r="D49" s="3" t="str">
        <x:v>kg </x:v>
      </x:c>
      <x:c r="E49" s="4"/>
      <x:c r="F49" s="3"/>
      <x:c r="G49" s="3"/>
      <x:c r="H49" s="3"/>
      <x:c r="I49" s="3"/>
      <x:c r="J49" s="3"/>
      <x:c r="K49" s="3"/>
      <x:c r="L49" s="3"/>
      <x:c r="M49" s="4"/>
      <x:c r="N49" s="3"/>
    </x:row>
    <x:row r="50" ht="32" customHeight="1">
      <x:c r="A50" s="3"/>
      <x:c r="B50" s="3"/>
      <x:c r="C50" s="3"/>
      <x:c r="D50" s="3"/>
      <x:c r="E50" s="4"/>
      <x:c r="F50" s="3"/>
      <x:c r="G50" s="3"/>
      <x:c r="H50" s="3"/>
      <x:c r="I50" s="3"/>
      <x:c r="J50" s="3"/>
      <x:c r="K50" s="3"/>
      <x:c r="L50" s="3"/>
      <x:c r="M50" s="4"/>
      <x:c r="N50" s="3"/>
    </x:row>
    <x:row r="51" ht="32" customHeight="1">
      <x:c r="A51" s="3"/>
      <x:c r="B51" s="3" t="str">
        <x:v>Khối lượng bổ sung chưa có dữ liệu</x:v>
      </x:c>
      <x:c r="C51" s="3"/>
      <x:c r="D51" s="3"/>
      <x:c r="E51" s="13" t="n">
        <x:v>0</x:v>
      </x:c>
      <x:c r="F51" s="3" t="str">
        <x:v>kg</x:v>
      </x:c>
      <x:c r="G51" s="3"/>
      <x:c r="H51" s="3"/>
      <x:c r="I51" s="3"/>
      <x:c r="J51" s="3"/>
      <x:c r="K51" s="3"/>
      <x:c r="L51" s="3"/>
      <x:c r="M51" s="4"/>
      <x:c r="N51" s="3"/>
    </x:row>
    <x:row r="52" ht="32" customHeight="1">
      <x:c r="A52" s="3"/>
      <x:c r="B52" s="3" t="str">
        <x:v>Quán tính phanh quy về motor chưa có số liệu</x:v>
      </x:c>
      <x:c r="C52" s="3"/>
      <x:c r="D52" s="3"/>
      <x:c r="E52" s="13" t="n">
        <x:v>0</x:v>
      </x:c>
      <x:c r="F52" s="3" t="str">
        <x:v>kg·m²</x:v>
      </x:c>
      <x:c r="G52" s="3"/>
      <x:c r="H52" s="3"/>
      <x:c r="I52" s="3"/>
      <x:c r="J52" s="3"/>
      <x:c r="K52" s="3"/>
      <x:c r="L52" s="3"/>
      <x:c r="M52" s="4"/>
      <x:c r="N52" s="3"/>
    </x:row>
    <x:row r="53" ht="32" customHeight="1">
      <x:c r="A53" s="3"/>
      <x:c r="B53" s="3" t="str">
        <x:v>Quán tính bánh tại trục bánh chưa có số liệu</x:v>
      </x:c>
      <x:c r="C53" s="3"/>
      <x:c r="D53" s="3"/>
      <x:c r="E53" s="13" t="n">
        <x:v>0</x:v>
      </x:c>
      <x:c r="F53" s="3" t="str">
        <x:v>kg·m²</x:v>
      </x:c>
      <x:c r="G53" s="3"/>
      <x:c r="H53" s="3"/>
      <x:c r="I53" s="3"/>
      <x:c r="J53" s="3"/>
      <x:c r="K53" s="3"/>
      <x:c r="L53" s="3"/>
      <x:c r="M53" s="4"/>
      <x:c r="N53" s="3"/>
    </x:row>
    <x:row r="54" ht="32" customHeight="1">
      <x:c r="A54" s="3"/>
      <x:c r="B54" s="3" t="str">
        <x:v>Quán tính tải quy đổi động học</x:v>
      </x:c>
      <x:c r="C54" s="3"/>
      <x:c r="D54" s="3"/>
      <x:c r="E54" s="4" t="n">
        <x:f>(E6+E7+E51)*(E12/(2*E13))^2</x:f>
        <x:v>0.01944375</x:v>
      </x:c>
      <x:c r="F54" s="3" t="str">
        <x:v>kg·m²</x:v>
      </x:c>
      <x:c r="G54" s="3"/>
      <x:c r="H54" s="3"/>
      <x:c r="I54" s="3"/>
      <x:c r="J54" s="3"/>
      <x:c r="K54" s="3"/>
      <x:c r="L54" s="3"/>
      <x:c r="M54" s="4"/>
      <x:c r="N54" s="3"/>
    </x:row>
    <x:row r="55" ht="32" customHeight="1">
      <x:c r="A55" s="3"/>
      <x:c r="B55" s="3" t="str">
        <x:v>Hệ số quán tính động lực gồm tổn hao</x:v>
      </x:c>
      <x:c r="C55" s="3"/>
      <x:c r="D55" s="3"/>
      <x:c r="E55" s="4" t="n">
        <x:f>C48+E52+E53/E13^2+E54/E15</x:f>
        <x:v>0.05925390625</x:v>
      </x:c>
      <x:c r="F55" s="3" t="str">
        <x:v>kg·m²</x:v>
      </x:c>
      <x:c r="G55" s="3"/>
      <x:c r="H55" s="3"/>
      <x:c r="I55" s="3"/>
      <x:c r="J55" s="3"/>
      <x:c r="K55" s="3"/>
      <x:c r="L55" s="3"/>
      <x:c r="M55" s="4"/>
      <x:c r="N55" s="3"/>
    </x:row>
    <x:row r="56" ht="32" customHeight="1">
      <x:c r="A56" s="3"/>
      <x:c r="B56" s="3" t="str">
        <x:v>Mô-men đỉnh S-curve có dự trữ</x:v>
      </x:c>
      <x:c r="C56" s="3"/>
      <x:c r="D56" s="3"/>
      <x:c r="E56" s="4" t="n">
        <x:f>E16*Chu_ky!B27</x:f>
        <x:v>42.049237500000004</x:v>
      </x:c>
      <x:c r="F56" s="3" t="str">
        <x:v>N·m</x:v>
      </x:c>
      <x:c r="G56" s="3"/>
      <x:c r="H56" s="3"/>
      <x:c r="I56" s="3"/>
      <x:c r="J56" s="3"/>
      <x:c r="K56" s="3"/>
      <x:c r="L56" s="3"/>
      <x:c r="M56" s="4"/>
      <x:c r="N56" s="3"/>
    </x:row>
    <x:row r="57" ht="32" customHeight="1">
      <x:c r="A57" s="3"/>
      <x:c r="B57" s="3" t="str">
        <x:v>Bao mô-men ở a_lim, gồm quán tính quay</x:v>
      </x:c>
      <x:c r="C57" s="3"/>
      <x:c r="D57" s="3"/>
      <x:c r="E57" s="4" t="n">
        <x:f>E16*(E18*E12/(2*E15*E13)+(C48+E52+E53/E13^2)*2*E13/E12*E10)</x:f>
        <x:v>66.5905125</x:v>
      </x:c>
      <x:c r="F57" s="3" t="str">
        <x:v>N·m</x:v>
      </x:c>
      <x:c r="G57" s="3"/>
      <x:c r="H57" s="3"/>
      <x:c r="I57" s="3"/>
      <x:c r="J57" s="3"/>
      <x:c r="K57" s="3"/>
      <x:c r="L57" s="3"/>
      <x:c r="M57" s="4"/>
      <x:c r="N57" s="3"/>
    </x:row>
    <x:row r="58" ht="32" customHeight="1">
      <x:c r="A58" s="3"/>
      <x:c r="B58" s="3" t="str">
        <x:v>Thời gian jerk mỗi đầu ramp</x:v>
      </x:c>
      <x:c r="C58" s="3"/>
      <x:c r="D58" s="3"/>
      <x:c r="E58" s="13" t="n">
        <x:v>0.25</x:v>
      </x:c>
      <x:c r="F58" s="3" t="str">
        <x:v>s</x:v>
      </x:c>
      <x:c r="G58" s="3"/>
      <x:c r="H58" s="3"/>
      <x:c r="I58" s="3"/>
      <x:c r="J58" s="3"/>
      <x:c r="K58" s="3"/>
      <x:c r="L58" s="3"/>
      <x:c r="M58" s="4"/>
      <x:c r="N58" s="3"/>
    </x:row>
    <x:row r="59" ht="32" customHeight="1">
      <x:c r="A59" s="3"/>
      <x:c r="B59" s="3" t="str">
        <x:v>Tỷ số quá tải yêu cầu ở a_lim</x:v>
      </x:c>
      <x:c r="C59" s="3"/>
      <x:c r="D59" s="3"/>
      <x:c r="E59" s="4" t="n">
        <x:f>E57/C43</x:f>
        <x:v>1.235445500927644</x:v>
      </x:c>
      <x:c r="F59" s="3"/>
      <x:c r="G59" s="3"/>
      <x:c r="H59" s="3"/>
      <x:c r="I59" s="3"/>
      <x:c r="J59" s="3"/>
      <x:c r="K59" s="3"/>
      <x:c r="L59" s="3"/>
      <x:c r="M59" s="4"/>
      <x:c r="N59" s="3"/>
    </x:row>
    <x:row r="60" ht="32" customHeight="1">
      <x:c r="A60" s="3"/>
      <x:c r="B60" s="3" t="str">
        <x:v>Chu kỳ tính toán</x:v>
      </x:c>
      <x:c r="C60" s="3"/>
      <x:c r="D60" s="3"/>
      <x:c r="E60" s="4" t="n">
        <x:f>Chu_ky!B22</x:f>
        <x:v>211.5</x:v>
      </x:c>
      <x:c r="F60" s="3" t="str">
        <x:v>s</x:v>
      </x:c>
      <x:c r="G60" s="3"/>
      <x:c r="H60" s="3"/>
      <x:c r="I60" s="3"/>
      <x:c r="J60" s="3"/>
      <x:c r="K60" s="3"/>
      <x:c r="L60" s="3"/>
      <x:c r="M60" s="4"/>
      <x:c r="N60" s="3"/>
    </x:row>
    <x:row r="61" ht="32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</x:row>
    <x:row r="62" ht="32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</x:row>
    <x:row r="63" ht="43" customHeight="1">
      <x:c r="A63" s="3"/>
      <x:c r="B63" s="3" t="str">
        <x:v>Nguồn: Tính toán thông số động cơ.xlsx, sheet Tính toán chi tiết động cơ a=1. Dữ liệu x=3 nằm trong Copy of Tính toán chi tiết động; x=6 có E5 ghi nhầm 1.</x:v>
      </x:c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</x:row>
    <x:row r="64" ht="43" customHeight="1">
      <x:c r="A64" s="3"/>
      <x:c r="B64" s="3" t="str">
        <x:v>x là chữ số của đề: Q=10000+1111x; m=200+11x; h=10+x; v=0,1+0,01x. Các thiết kế i và η không nội suy theo x.</x:v>
      </x:c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</x:row>
    <x:row r="65" ht="43" customHeight="1">
      <x:c r="A65" s="3"/>
      <x:c r="B65" s="3" t="str">
        <x:v>Giữ μ=0,2 theo mô hình bài tập. Không đồng nhất μ cản với hệ số bám ray. Kết quả này chưa chứng minh cơ cấu bánh–ray đủ bám khi chế tạo.</x:v>
      </x:c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</x:row>
    <x:row r="66" ht="43" customHeight="1">
      <x:c r="A66" s="3"/>
      <x:c r="B66" s="3" t="str">
        <x:v>Mẫu chia η lần nữa ở E24; bản sửa dùng P=Mω. Mẫu lấy P trung bình để RMS; bản sửa tích phân P(t)² ở trục motor.</x:v>
      </x:c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</x:row>
    <x:row r="67" ht="43" customHeight="1">
      <x:c r="A67" s="3"/>
      <x:c r="B67" s="3" t="str">
        <x:v>Giữ T_tăng=2 s, T_đều có tải=80 s, T_giảm có tải=10 s, nghỉ=30 s, T_giảm không tải=5 s; sửa chạy đều không tải thành 82,5 s để hai lượt cùng 10,32 m.</x:v>
      </x:c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</x:row>
    <x:row r="68" ht="43" customHeight="1">
      <x:c r="A68" s="3"/>
      <x:c r="B68" s="3" t="str">
        <x:v>Các số 0 tại E51:E53 là dữ liệu chưa có, không khẳng định khối lượng khung và quán tính phanh/bánh bằng 0. Nhập số thực trước khi chốt.</x:v>
      </x:c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</x:row>
    <x:row r="69" ht="43" customHeight="1">
      <x:c r="A69" s="3"/>
      <x:c r="B69" s="3" t="str">
        <x:v>Giới hạn jerk được kiểm tra bằng S-curve tj=0,25 s. Các lực/công suất đoạn ở cột M phần trên là giá trị ramp tuyến tính để đối chiếu mẫu.</x:v>
      </x:c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</x:row>
  </x:sheetData>
  <x:mergeCells>
    <x:mergeCell ref="B63:N63"/>
    <x:mergeCell ref="B64:N64"/>
    <x:mergeCell ref="B65:N65"/>
    <x:mergeCell ref="B66:N66"/>
    <x:mergeCell ref="B67:N67"/>
    <x:mergeCell ref="B68:N68"/>
    <x:mergeCell ref="B69:N69"/>
    <x:mergeCell ref="B3:F3"/>
  </x:mergeCells>
  <x:dataValidations count="1">
    <x:dataValidation type="whole" operator="between" sqref="E5">
      <x:formula1>0</x:formula1>
      <x:formula2>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27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 ht="32" customHeight="1">
      <x:c r="A1" s="3" t="str">
        <x:v>CHU KỲ x = 2 — S-CURVE VÀ TÍCH PHÂN CÔNG SUẤT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2" customHeight="1">
      <x:c r="A2" s="3" t="str">
        <x:v>Có tải đi → nghỉ 30 s → không tải về. Khoảng đi và về bằng nhau. P và M tính tại trục motor.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32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 ht="32" customHeight="1">
      <x:c r="A4" s="5" t="str">
        <x:v>Pha</x:v>
      </x:c>
      <x:c r="B4" s="5" t="str">
        <x:v>Δt (s)</x:v>
      </x:c>
      <x:c r="C4" s="5" t="str">
        <x:v>Khối lượng (kg)</x:v>
      </x:c>
      <x:c r="D4" s="5" t="str">
        <x:v>Chiều</x:v>
      </x:c>
      <x:c r="E4" s="5" t="str">
        <x:v>j (m/s³)</x:v>
      </x:c>
      <x:c r="F4" s="5" t="str">
        <x:v>a đầu</x:v>
      </x:c>
      <x:c r="G4" s="5" t="str">
        <x:v>v đầu</x:v>
      </x:c>
      <x:c r="H4" s="5" t="str">
        <x:v>t đầu</x:v>
      </x:c>
      <x:c r="I4" s="5" t="str">
        <x:v>a cuối</x:v>
      </x:c>
      <x:c r="J4" s="5" t="str">
        <x:v>v cuối</x:v>
      </x:c>
      <x:c r="K4" s="5" t="str">
        <x:v>S (m)</x:v>
      </x:c>
      <x:c r="L4" s="5" t="str">
        <x:v>∫P²dt</x:v>
      </x:c>
      <x:c r="M4" s="5" t="str">
        <x:v>∫M²dt</x:v>
      </x:c>
      <x:c r="N4" s="5" t="str">
        <x:v>|M| đỉnh</x:v>
      </x:c>
    </x:row>
    <x:row r="5" ht="32" customHeight="1">
      <x:c r="A5" s="3" t="str">
        <x:v>Có tải tăng j+</x:v>
      </x:c>
      <x:c r="B5" s="4" t="n">
        <x:f>Tinh_toan_x2!E58</x:f>
        <x:v>0.25</x:v>
      </x:c>
      <x:c r="C5" s="4" t="n">
        <x:f>Tinh_toan_x2!E7+Tinh_toan_x2!E51+Tinh_toan_x2!E6</x:f>
        <x:v>12444</x:v>
      </x:c>
      <x:c r="D5" s="4" t="n">
        <x:v>1</x:v>
      </x:c>
      <x:c r="E5" s="4" t="n">
        <x:f>Tinh_toan_x2!E9/(Tinh_toan_x2!M5-Tinh_toan_x2!E58)/Tinh_toan_x2!E58</x:f>
        <x:v>0.2742857142857143</x:v>
      </x:c>
      <x:c r="F5" s="4" t="n">
        <x:v>0</x:v>
      </x:c>
      <x:c r="G5" s="4" t="n">
        <x:v>0</x:v>
      </x:c>
      <x:c r="H5" s="4" t="n">
        <x:v>0</x:v>
      </x:c>
      <x:c r="I5" s="4" t="n">
        <x:f>F5+E5*B5</x:f>
        <x:v>0.06857142857142857</x:v>
      </x:c>
      <x:c r="J5" s="4" t="n">
        <x:f>G5+F5*B5+0.5*E5*B5^2</x:f>
        <x:v>0.008571428571428572</x:v>
      </x:c>
      <x:c r="K5" s="4" t="n">
        <x:f>G5*B5+0.5*F5*B5^2+E5*B5^3/6</x:f>
        <x:v>0.0007142857142857143</x:v>
      </x:c>
      <x:c r="L5" s="4" t="n">
        <x:f>SUM(J36:J39)</x:f>
        <x:v>2798.678309097921</x:v>
      </x:c>
      <x:c r="M5" s="4" t="n">
        <x:f>SUM(K36:K39)</x:f>
        <x:v>279.3737289338379</x:v>
      </x:c>
      <x:c r="N5" s="4" t="n">
        <x:f>MAX(ABS(D5*(C5*(Tinh_toan_x2!E14*Tinh_toan_x2!E17+F5)*Tinh_toan_x2!E12/(2*Tinh_toan_x2!E15*Tinh_toan_x2!E13)+(Tinh_toan_x2!C48+Tinh_toan_x2!E52+Tinh_toan_x2!E53/Tinh_toan_x2!E13^2)*2*Tinh_toan_x2!E13/Tinh_toan_x2!E12*F5)),ABS(D5*(C5*(Tinh_toan_x2!E14*Tinh_toan_x2!E17+I5)*Tinh_toan_x2!E12/(2*Tinh_toan_x2!E15*Tinh_toan_x2!E13)+(Tinh_toan_x2!C48+Tinh_toan_x2!E52+Tinh_toan_x2!E53/Tinh_toan_x2!E13^2)*2*Tinh_toan_x2!E13/Tinh_toan_x2!E12*I5)))</x:f>
        <x:v>35.04103125</x:v>
      </x:c>
    </x:row>
    <x:row r="6" ht="32" customHeight="1">
      <x:c r="A6" s="3" t="str">
        <x:v>Có tải tăng a</x:v>
      </x:c>
      <x:c r="B6" s="4" t="n">
        <x:f>Tinh_toan_x2!M5-2*Tinh_toan_x2!E58</x:f>
        <x:v>1.5</x:v>
      </x:c>
      <x:c r="C6" s="4" t="n">
        <x:f>Tinh_toan_x2!E7+Tinh_toan_x2!E51+Tinh_toan_x2!E6</x:f>
        <x:v>12444</x:v>
      </x:c>
      <x:c r="D6" s="4" t="n">
        <x:v>1</x:v>
      </x:c>
      <x:c r="E6" s="4" t="n">
        <x:f>0</x:f>
        <x:v>0</x:v>
      </x:c>
      <x:c r="F6" s="4" t="n">
        <x:f>I5</x:f>
        <x:v>0.06857142857142857</x:v>
      </x:c>
      <x:c r="G6" s="4" t="n">
        <x:f>J5</x:f>
        <x:v>0.008571428571428572</x:v>
      </x:c>
      <x:c r="H6" s="4" t="n">
        <x:f>H5+B5</x:f>
        <x:v>0.25</x:v>
      </x:c>
      <x:c r="I6" s="4" t="n">
        <x:f>F6+E6*B6</x:f>
        <x:v>0.06857142857142857</x:v>
      </x:c>
      <x:c r="J6" s="4" t="n">
        <x:f>G6+F6*B6+0.5*E6*B6^2</x:f>
        <x:v>0.11142857142857145</x:v>
      </x:c>
      <x:c r="K6" s="4" t="n">
        <x:f>G6*B6+0.5*F6*B6^2+E6*B6^3/6</x:f>
        <x:v>0.09000000000000001</x:v>
      </x:c>
      <x:c r="L6" s="4" t="n">
        <x:f>SUM(J40:J43)</x:f>
        <x:v>5282764.449022814</x:v>
      </x:c>
      <x:c r="M6" s="4" t="n">
        <x:f>SUM(K40:K43)</x:f>
        <x:v>1841.8108065952156</x:v>
      </x:c>
      <x:c r="N6" s="4" t="n">
        <x:f>MAX(ABS(D6*(C6*(Tinh_toan_x2!E14*Tinh_toan_x2!E17+F6)*Tinh_toan_x2!E12/(2*Tinh_toan_x2!E15*Tinh_toan_x2!E13)+(Tinh_toan_x2!C48+Tinh_toan_x2!E52+Tinh_toan_x2!E53/Tinh_toan_x2!E13^2)*2*Tinh_toan_x2!E13/Tinh_toan_x2!E12*F6)),ABS(D6*(C6*(Tinh_toan_x2!E14*Tinh_toan_x2!E17+I6)*Tinh_toan_x2!E12/(2*Tinh_toan_x2!E15*Tinh_toan_x2!E13)+(Tinh_toan_x2!C48+Tinh_toan_x2!E52+Tinh_toan_x2!E53/Tinh_toan_x2!E13^2)*2*Tinh_toan_x2!E13/Tinh_toan_x2!E12*I6)))</x:f>
        <x:v>35.04103125</x:v>
      </x:c>
    </x:row>
    <x:row r="7" ht="32" customHeight="1">
      <x:c r="A7" s="3" t="str">
        <x:v>Có tải tăng j-</x:v>
      </x:c>
      <x:c r="B7" s="4" t="n">
        <x:f>Tinh_toan_x2!E58</x:f>
        <x:v>0.25</x:v>
      </x:c>
      <x:c r="C7" s="4" t="n">
        <x:f>Tinh_toan_x2!E7+Tinh_toan_x2!E51+Tinh_toan_x2!E6</x:f>
        <x:v>12444</x:v>
      </x:c>
      <x:c r="D7" s="4" t="n">
        <x:v>1</x:v>
      </x:c>
      <x:c r="E7" s="4" t="n">
        <x:f>-Tinh_toan_x2!E9/(Tinh_toan_x2!M5-Tinh_toan_x2!E58)/Tinh_toan_x2!E58</x:f>
        <x:v>-0.2742857142857143</x:v>
      </x:c>
      <x:c r="F7" s="4" t="n">
        <x:f>I6</x:f>
        <x:v>0.06857142857142857</x:v>
      </x:c>
      <x:c r="G7" s="4" t="n">
        <x:f>J6</x:f>
        <x:v>0.11142857142857145</x:v>
      </x:c>
      <x:c r="H7" s="4" t="n">
        <x:f>H6+B6</x:f>
        <x:v>1.75</x:v>
      </x:c>
      <x:c r="I7" s="4" t="n">
        <x:f>F7+E7*B7</x:f>
        <x:v>0</x:v>
      </x:c>
      <x:c r="J7" s="4" t="n">
        <x:f>G7+F7*B7+0.5*E7*B7^2</x:f>
        <x:v>0.12000000000000001</x:v>
      </x:c>
      <x:c r="K7" s="4" t="n">
        <x:f>G7*B7+0.5*F7*B7^2+E7*B7^3/6</x:f>
        <x:v>0.02928571428571429</x:v>
      </x:c>
      <x:c r="L7" s="4" t="n">
        <x:f>SUM(J44:J47)</x:f>
        <x:v>2448924.014489356</x:v>
      </x:c>
      <x:c r="M7" s="4" t="n">
        <x:f>SUM(K44:K47)</x:f>
        <x:v>279.3737289338379</x:v>
      </x:c>
      <x:c r="N7" s="4" t="n">
        <x:f>MAX(ABS(D7*(C7*(Tinh_toan_x2!E14*Tinh_toan_x2!E17+F7)*Tinh_toan_x2!E12/(2*Tinh_toan_x2!E15*Tinh_toan_x2!E13)+(Tinh_toan_x2!C48+Tinh_toan_x2!E52+Tinh_toan_x2!E53/Tinh_toan_x2!E13^2)*2*Tinh_toan_x2!E13/Tinh_toan_x2!E12*F7)),ABS(D7*(C7*(Tinh_toan_x2!E14*Tinh_toan_x2!E17+I7)*Tinh_toan_x2!E12/(2*Tinh_toan_x2!E15*Tinh_toan_x2!E13)+(Tinh_toan_x2!C48+Tinh_toan_x2!E52+Tinh_toan_x2!E53/Tinh_toan_x2!E13^2)*2*Tinh_toan_x2!E13/Tinh_toan_x2!E12*I7)))</x:f>
        <x:v>35.04103125</x:v>
      </x:c>
    </x:row>
    <x:row r="8" ht="32" customHeight="1">
      <x:c r="A8" s="3" t="str">
        <x:v>Có tải đều</x:v>
      </x:c>
      <x:c r="B8" s="4" t="n">
        <x:f>Tinh_toan_x2!M11</x:f>
        <x:v>80</x:v>
      </x:c>
      <x:c r="C8" s="4" t="n">
        <x:f>Tinh_toan_x2!E7+Tinh_toan_x2!E51+Tinh_toan_x2!E6</x:f>
        <x:v>12444</x:v>
      </x:c>
      <x:c r="D8" s="4" t="n">
        <x:v>1</x:v>
      </x:c>
      <x:c r="E8" s="4" t="n">
        <x:f>0</x:f>
        <x:v>0</x:v>
      </x:c>
      <x:c r="F8" s="4" t="n">
        <x:f>I7</x:f>
        <x:v>0</x:v>
      </x:c>
      <x:c r="G8" s="4" t="n">
        <x:f>J7</x:f>
        <x:v>0.12000000000000001</x:v>
      </x:c>
      <x:c r="H8" s="4" t="n">
        <x:f>H7+B7</x:f>
        <x:v>2</x:v>
      </x:c>
      <x:c r="I8" s="4" t="n">
        <x:f>F8+E8*B8</x:f>
        <x:v>0</x:v>
      </x:c>
      <x:c r="J8" s="4" t="n">
        <x:f>G8+F8*B8+0.5*E8*B8^2</x:f>
        <x:v>0.12000000000000001</x:v>
      </x:c>
      <x:c r="K8" s="4" t="n">
        <x:f>G8*B8+0.5*F8*B8^2+E8*B8^3/6</x:f>
        <x:v>9.600000000000001</x:v>
      </x:c>
      <x:c r="L8" s="4" t="n">
        <x:f>SUM(J48:J51)</x:f>
        <x:v>745123094.07048</x:v>
      </x:c>
      <x:c r="M8" s="4" t="n">
        <x:f>SUM(K48:K51)</x:f>
        <x:v>80851.03017257813</x:v>
      </x:c>
      <x:c r="N8" s="4" t="n">
        <x:f>MAX(ABS(D8*(C8*(Tinh_toan_x2!E14*Tinh_toan_x2!E17+F8)*Tinh_toan_x2!E12/(2*Tinh_toan_x2!E15*Tinh_toan_x2!E13)+(Tinh_toan_x2!C48+Tinh_toan_x2!E52+Tinh_toan_x2!E53/Tinh_toan_x2!E13^2)*2*Tinh_toan_x2!E13/Tinh_toan_x2!E12*F8)),ABS(D8*(C8*(Tinh_toan_x2!E14*Tinh_toan_x2!E17+I8)*Tinh_toan_x2!E12/(2*Tinh_toan_x2!E15*Tinh_toan_x2!E13)+(Tinh_toan_x2!C48+Tinh_toan_x2!E52+Tinh_toan_x2!E53/Tinh_toan_x2!E13^2)*2*Tinh_toan_x2!E13/Tinh_toan_x2!E12*I8)))</x:f>
        <x:v>31.79053125</x:v>
      </x:c>
    </x:row>
    <x:row r="9" ht="32" customHeight="1">
      <x:c r="A9" s="3" t="str">
        <x:v>Có tải giảm j-</x:v>
      </x:c>
      <x:c r="B9" s="4" t="n">
        <x:f>Tinh_toan_x2!E58</x:f>
        <x:v>0.25</x:v>
      </x:c>
      <x:c r="C9" s="4" t="n">
        <x:f>Tinh_toan_x2!E7+Tinh_toan_x2!E51+Tinh_toan_x2!E6</x:f>
        <x:v>12444</x:v>
      </x:c>
      <x:c r="D9" s="4" t="n">
        <x:v>1</x:v>
      </x:c>
      <x:c r="E9" s="4" t="n">
        <x:f>-Tinh_toan_x2!E9/(Tinh_toan_x2!M14-Tinh_toan_x2!E58)/Tinh_toan_x2!E58</x:f>
        <x:v>-0.04923076923076924</x:v>
      </x:c>
      <x:c r="F9" s="4" t="n">
        <x:f>I8</x:f>
        <x:v>0</x:v>
      </x:c>
      <x:c r="G9" s="4" t="n">
        <x:f>J8</x:f>
        <x:v>0.12000000000000001</x:v>
      </x:c>
      <x:c r="H9" s="4" t="n">
        <x:f>H8+B8</x:f>
        <x:v>82</x:v>
      </x:c>
      <x:c r="I9" s="4" t="n">
        <x:f>F9+E9*B9</x:f>
        <x:v>-0.01230769230769231</x:v>
      </x:c>
      <x:c r="J9" s="4" t="n">
        <x:f>G9+F9*B9+0.5*E9*B9^2</x:f>
        <x:v>0.11846153846153847</x:v>
      </x:c>
      <x:c r="K9" s="4" t="n">
        <x:f>G9*B9+0.5*F9*B9^2+E9*B9^3/6</x:f>
        <x:v>0.029871794871794873</x:v>
      </x:c>
      <x:c r="L9" s="4" t="n">
        <x:f>SUM(J52:J55)</x:f>
        <x:v>2266754.303693029</x:v>
      </x:c>
      <x:c r="M9" s="4" t="n">
        <x:f>SUM(K52:K55)</x:f>
        <x:v>248.051002106807</x:v>
      </x:c>
      <x:c r="N9" s="4" t="n">
        <x:f>MAX(ABS(D9*(C9*(Tinh_toan_x2!E14*Tinh_toan_x2!E17+F9)*Tinh_toan_x2!E12/(2*Tinh_toan_x2!E15*Tinh_toan_x2!E13)+(Tinh_toan_x2!C48+Tinh_toan_x2!E52+Tinh_toan_x2!E53/Tinh_toan_x2!E13^2)*2*Tinh_toan_x2!E13/Tinh_toan_x2!E12*F9)),ABS(D9*(C9*(Tinh_toan_x2!E14*Tinh_toan_x2!E17+I9)*Tinh_toan_x2!E12/(2*Tinh_toan_x2!E15*Tinh_toan_x2!E13)+(Tinh_toan_x2!C48+Tinh_toan_x2!E52+Tinh_toan_x2!E53/Tinh_toan_x2!E13^2)*2*Tinh_toan_x2!E13/Tinh_toan_x2!E12*I9)))</x:f>
        <x:v>31.79053125</x:v>
      </x:c>
    </x:row>
    <x:row r="10" ht="32" customHeight="1">
      <x:c r="A10" s="3" t="str">
        <x:v>Có tải giảm a</x:v>
      </x:c>
      <x:c r="B10" s="4" t="n">
        <x:f>Tinh_toan_x2!M14-2*Tinh_toan_x2!E58</x:f>
        <x:v>9.5</x:v>
      </x:c>
      <x:c r="C10" s="4" t="n">
        <x:f>Tinh_toan_x2!E7+Tinh_toan_x2!E51+Tinh_toan_x2!E6</x:f>
        <x:v>12444</x:v>
      </x:c>
      <x:c r="D10" s="4" t="n">
        <x:v>1</x:v>
      </x:c>
      <x:c r="E10" s="4" t="n">
        <x:f>0</x:f>
        <x:v>0</x:v>
      </x:c>
      <x:c r="F10" s="4" t="n">
        <x:f>I9</x:f>
        <x:v>-0.01230769230769231</x:v>
      </x:c>
      <x:c r="G10" s="4" t="n">
        <x:f>J9</x:f>
        <x:v>0.11846153846153847</x:v>
      </x:c>
      <x:c r="H10" s="4" t="n">
        <x:f>H9+B9</x:f>
        <x:v>82.25</x:v>
      </x:c>
      <x:c r="I10" s="4" t="n">
        <x:f>F10+E10*B10</x:f>
        <x:v>-0.01230769230769231</x:v>
      </x:c>
      <x:c r="J10" s="4" t="n">
        <x:f>G10+F10*B10+0.5*E10*B10^2</x:f>
        <x:v>0.0015384615384615302</x:v>
      </x:c>
      <x:c r="K10" s="4" t="n">
        <x:f>G10*B10+0.5*F10*B10^2+E10*B10^3/6</x:f>
        <x:v>0.57</x:v>
      </x:c>
      <x:c r="L10" s="4" t="n">
        <x:f>SUM(J56:J59)</x:f>
        <x:v>28062108.270794004</x:v>
      </x:c>
      <x:c r="M10" s="4" t="n">
        <x:f>SUM(K56:K59)</x:f>
        <x:v>9251.894204998182</x:v>
      </x:c>
      <x:c r="N10" s="4" t="n">
        <x:f>MAX(ABS(D10*(C10*(Tinh_toan_x2!E14*Tinh_toan_x2!E17+F10)*Tinh_toan_x2!E12/(2*Tinh_toan_x2!E15*Tinh_toan_x2!E13)+(Tinh_toan_x2!C48+Tinh_toan_x2!E52+Tinh_toan_x2!E53/Tinh_toan_x2!E13^2)*2*Tinh_toan_x2!E13/Tinh_toan_x2!E12*F10)),ABS(D10*(C10*(Tinh_toan_x2!E14*Tinh_toan_x2!E17+I10)*Tinh_toan_x2!E12/(2*Tinh_toan_x2!E15*Tinh_toan_x2!E13)+(Tinh_toan_x2!C48+Tinh_toan_x2!E52+Tinh_toan_x2!E53/Tinh_toan_x2!E13^2)*2*Tinh_toan_x2!E13/Tinh_toan_x2!E12*I10)))</x:f>
        <x:v>31.20710817307692</x:v>
      </x:c>
    </x:row>
    <x:row r="11" ht="32" customHeight="1">
      <x:c r="A11" s="3" t="str">
        <x:v>Có tải giảm j+</x:v>
      </x:c>
      <x:c r="B11" s="4" t="n">
        <x:f>Tinh_toan_x2!E58</x:f>
        <x:v>0.25</x:v>
      </x:c>
      <x:c r="C11" s="4" t="n">
        <x:f>Tinh_toan_x2!E7+Tinh_toan_x2!E51+Tinh_toan_x2!E6</x:f>
        <x:v>12444</x:v>
      </x:c>
      <x:c r="D11" s="4" t="n">
        <x:v>1</x:v>
      </x:c>
      <x:c r="E11" s="4" t="n">
        <x:f>Tinh_toan_x2!E9/(Tinh_toan_x2!M14-Tinh_toan_x2!E58)/Tinh_toan_x2!E58</x:f>
        <x:v>0.04923076923076924</x:v>
      </x:c>
      <x:c r="F11" s="4" t="n">
        <x:f>I10</x:f>
        <x:v>-0.01230769230769231</x:v>
      </x:c>
      <x:c r="G11" s="4" t="n">
        <x:f>J10</x:f>
        <x:v>0.0015384615384615302</x:v>
      </x:c>
      <x:c r="H11" s="4" t="n">
        <x:f>H10+B10</x:f>
        <x:v>91.75</x:v>
      </x:c>
      <x:c r="I11" s="4" t="n">
        <x:f>F11+E11*B11</x:f>
        <x:v>0</x:v>
      </x:c>
      <x:c r="J11" s="4" t="n">
        <x:f>G11+F11*B11+0.5*E11*B11^2</x:f>
        <x:v>-8.456776945386935e-18</x:v>
      </x:c>
      <x:c r="K11" s="4" t="n">
        <x:f>G11*B11+0.5*F11*B11^2+E11*B11^3/6</x:f>
        <x:v>0.00012820512820512612</x:v>
      </x:c>
      <x:c r="L11" s="4" t="n">
        <x:f>SUM(J60:J63)</x:f>
        <x:v>74.22248835585152</x:v>
      </x:c>
      <x:c r="M11" s="4" t="n">
        <x:f>SUM(K60:K63)</x:f>
        <x:v>248.051002106807</x:v>
      </x:c>
      <x:c r="N11" s="4" t="n">
        <x:f>MAX(ABS(D11*(C11*(Tinh_toan_x2!E14*Tinh_toan_x2!E17+F11)*Tinh_toan_x2!E12/(2*Tinh_toan_x2!E15*Tinh_toan_x2!E13)+(Tinh_toan_x2!C48+Tinh_toan_x2!E52+Tinh_toan_x2!E53/Tinh_toan_x2!E13^2)*2*Tinh_toan_x2!E13/Tinh_toan_x2!E12*F11)),ABS(D11*(C11*(Tinh_toan_x2!E14*Tinh_toan_x2!E17+I11)*Tinh_toan_x2!E12/(2*Tinh_toan_x2!E15*Tinh_toan_x2!E13)+(Tinh_toan_x2!C48+Tinh_toan_x2!E52+Tinh_toan_x2!E53/Tinh_toan_x2!E13^2)*2*Tinh_toan_x2!E13/Tinh_toan_x2!E12*I11)))</x:f>
        <x:v>31.79053125</x:v>
      </x:c>
    </x:row>
    <x:row r="12" ht="32" customHeight="1">
      <x:c r="A12" s="3" t="str">
        <x:v>Nghỉ</x:v>
      </x:c>
      <x:c r="B12" s="4" t="n">
        <x:f>Tinh_toan_x2!M19</x:f>
        <x:v>30</x:v>
      </x:c>
      <x:c r="C12" s="4" t="n">
        <x:f>Tinh_toan_x2!E7+Tinh_toan_x2!E51</x:f>
        <x:v>222</x:v>
      </x:c>
      <x:c r="D12" s="4" t="n">
        <x:v>0</x:v>
      </x:c>
      <x:c r="E12" s="4" t="n">
        <x:f>0</x:f>
        <x:v>0</x:v>
      </x:c>
      <x:c r="F12" s="4" t="n">
        <x:v>0</x:v>
      </x:c>
      <x:c r="G12" s="4" t="n">
        <x:v>0</x:v>
      </x:c>
      <x:c r="H12" s="4" t="n">
        <x:f>H11+B11</x:f>
        <x:v>92</x:v>
      </x:c>
      <x:c r="I12" s="4" t="n">
        <x:f>F12+E12*B12</x:f>
        <x:v>0</x:v>
      </x:c>
      <x:c r="J12" s="4" t="n">
        <x:f>G12+F12*B12+0.5*E12*B12^2</x:f>
        <x:v>0</x:v>
      </x:c>
      <x:c r="K12" s="4" t="n">
        <x:f>G12*B12+0.5*F12*B12^2+E12*B12^3/6</x:f>
        <x:v>0</x:v>
      </x:c>
      <x:c r="L12" s="4" t="n">
        <x:f>SUM(J64:J67)</x:f>
        <x:v>0</x:v>
      </x:c>
      <x:c r="M12" s="4" t="n">
        <x:f>SUM(K64:K67)</x:f>
        <x:v>0</x:v>
      </x:c>
      <x:c r="N12" s="4" t="n">
        <x:f>MAX(ABS(D12*(C12*(Tinh_toan_x2!E14*Tinh_toan_x2!E17+F12)*Tinh_toan_x2!E12/(2*Tinh_toan_x2!E15*Tinh_toan_x2!E13)+(Tinh_toan_x2!C48+Tinh_toan_x2!E52+Tinh_toan_x2!E53/Tinh_toan_x2!E13^2)*2*Tinh_toan_x2!E13/Tinh_toan_x2!E12*F12)),ABS(D12*(C12*(Tinh_toan_x2!E14*Tinh_toan_x2!E17+I12)*Tinh_toan_x2!E12/(2*Tinh_toan_x2!E15*Tinh_toan_x2!E13)+(Tinh_toan_x2!C48+Tinh_toan_x2!E52+Tinh_toan_x2!E53/Tinh_toan_x2!E13^2)*2*Tinh_toan_x2!E13/Tinh_toan_x2!E12*I12)))</x:f>
        <x:v>0</x:v>
      </x:c>
    </x:row>
    <x:row r="13" ht="32" customHeight="1">
      <x:c r="A13" s="3" t="str">
        <x:v>Không tải tăng j+</x:v>
      </x:c>
      <x:c r="B13" s="4" t="n">
        <x:f>Tinh_toan_x2!E58</x:f>
        <x:v>0.25</x:v>
      </x:c>
      <x:c r="C13" s="4" t="n">
        <x:f>Tinh_toan_x2!E7+Tinh_toan_x2!E51</x:f>
        <x:v>222</x:v>
      </x:c>
      <x:c r="D13" s="4" t="n">
        <x:v>-1</x:v>
      </x:c>
      <x:c r="E13" s="4" t="n">
        <x:f>Tinh_toan_x2!E9/(Tinh_toan_x2!M20-Tinh_toan_x2!E58)/Tinh_toan_x2!E58</x:f>
        <x:v>0.2742857142857143</x:v>
      </x:c>
      <x:c r="F13" s="4" t="n">
        <x:v>0</x:v>
      </x:c>
      <x:c r="G13" s="4" t="n">
        <x:v>0</x:v>
      </x:c>
      <x:c r="H13" s="4" t="n">
        <x:f>H12+B12</x:f>
        <x:v>122</x:v>
      </x:c>
      <x:c r="I13" s="4" t="n">
        <x:f>F13+E13*B13</x:f>
        <x:v>0.06857142857142857</x:v>
      </x:c>
      <x:c r="J13" s="4" t="n">
        <x:f>G13+F13*B13+0.5*E13*B13^2</x:f>
        <x:v>0.008571428571428572</x:v>
      </x:c>
      <x:c r="K13" s="4" t="n">
        <x:f>G13*B13+0.5*F13*B13^2+E13*B13^3/6</x:f>
        <x:v>0.0007142857142857143</x:v>
      </x:c>
      <x:c r="L13" s="4" t="n">
        <x:f>SUM(J68:J71)</x:f>
        <x:v>13.384131974917988</x:v>
      </x:c>
      <x:c r="M13" s="4" t="n">
        <x:f>SUM(K68:K71)</x:f>
        <x:v>0.77509176763916</x:v>
      </x:c>
      <x:c r="N13" s="4" t="n">
        <x:f>MAX(ABS(D13*(C13*(Tinh_toan_x2!E14*Tinh_toan_x2!E17+F13)*Tinh_toan_x2!E12/(2*Tinh_toan_x2!E15*Tinh_toan_x2!E13)+(Tinh_toan_x2!C48+Tinh_toan_x2!E52+Tinh_toan_x2!E53/Tinh_toan_x2!E13^2)*2*Tinh_toan_x2!E13/Tinh_toan_x2!E12*F13)),ABS(D13*(C13*(Tinh_toan_x2!E14*Tinh_toan_x2!E17+I13)*Tinh_toan_x2!E12/(2*Tinh_toan_x2!E15*Tinh_toan_x2!E13)+(Tinh_toan_x2!C48+Tinh_toan_x2!E52+Tinh_toan_x2!E53/Tinh_toan_x2!E13^2)*2*Tinh_toan_x2!E13/Tinh_toan_x2!E12*I13)))</x:f>
        <x:v>2.7263906250000005</x:v>
      </x:c>
    </x:row>
    <x:row r="14" ht="32" customHeight="1">
      <x:c r="A14" s="3" t="str">
        <x:v>Không tải tăng a</x:v>
      </x:c>
      <x:c r="B14" s="4" t="n">
        <x:f>Tinh_toan_x2!M20-2*Tinh_toan_x2!E58</x:f>
        <x:v>1.5</x:v>
      </x:c>
      <x:c r="C14" s="4" t="n">
        <x:f>Tinh_toan_x2!E7+Tinh_toan_x2!E51</x:f>
        <x:v>222</x:v>
      </x:c>
      <x:c r="D14" s="4" t="n">
        <x:v>-1</x:v>
      </x:c>
      <x:c r="E14" s="4" t="n">
        <x:f>0</x:f>
        <x:v>0</x:v>
      </x:c>
      <x:c r="F14" s="4" t="n">
        <x:f>I13</x:f>
        <x:v>0.06857142857142857</x:v>
      </x:c>
      <x:c r="G14" s="4" t="n">
        <x:f>J13</x:f>
        <x:v>0.008571428571428572</x:v>
      </x:c>
      <x:c r="H14" s="4" t="n">
        <x:f>H13+B13</x:f>
        <x:v>122.25</x:v>
      </x:c>
      <x:c r="I14" s="4" t="n">
        <x:f>F14+E14*B14</x:f>
        <x:v>0.06857142857142857</x:v>
      </x:c>
      <x:c r="J14" s="4" t="n">
        <x:f>G14+F14*B14+0.5*E14*B14^2</x:f>
        <x:v>0.11142857142857145</x:v>
      </x:c>
      <x:c r="K14" s="4" t="n">
        <x:f>G14*B14+0.5*F14*B14^2+E14*B14^3/6</x:f>
        <x:v>0.09000000000000001</x:v>
      </x:c>
      <x:c r="L14" s="4" t="n">
        <x:f>SUM(J72:J75)</x:f>
        <x:v>31980.38208946876</x:v>
      </x:c>
      <x:c r="M14" s="4" t="n">
        <x:f>SUM(K72:K75)</x:f>
        <x:v>11.14980876013184</x:v>
      </x:c>
      <x:c r="N14" s="4" t="n">
        <x:f>MAX(ABS(D14*(C14*(Tinh_toan_x2!E14*Tinh_toan_x2!E17+F14)*Tinh_toan_x2!E12/(2*Tinh_toan_x2!E15*Tinh_toan_x2!E13)+(Tinh_toan_x2!C48+Tinh_toan_x2!E52+Tinh_toan_x2!E53/Tinh_toan_x2!E13^2)*2*Tinh_toan_x2!E13/Tinh_toan_x2!E12*F14)),ABS(D14*(C14*(Tinh_toan_x2!E14*Tinh_toan_x2!E17+I14)*Tinh_toan_x2!E12/(2*Tinh_toan_x2!E15*Tinh_toan_x2!E13)+(Tinh_toan_x2!C48+Tinh_toan_x2!E52+Tinh_toan_x2!E53/Tinh_toan_x2!E13^2)*2*Tinh_toan_x2!E13/Tinh_toan_x2!E12*I14)))</x:f>
        <x:v>2.7263906250000005</x:v>
      </x:c>
    </x:row>
    <x:row r="15" ht="32" customHeight="1">
      <x:c r="A15" s="3" t="str">
        <x:v>Không tải tăng j-</x:v>
      </x:c>
      <x:c r="B15" s="4" t="n">
        <x:f>Tinh_toan_x2!E58</x:f>
        <x:v>0.25</x:v>
      </x:c>
      <x:c r="C15" s="4" t="n">
        <x:f>Tinh_toan_x2!E7+Tinh_toan_x2!E51</x:f>
        <x:v>222</x:v>
      </x:c>
      <x:c r="D15" s="4" t="n">
        <x:v>-1</x:v>
      </x:c>
      <x:c r="E15" s="4" t="n">
        <x:f>-Tinh_toan_x2!E9/(Tinh_toan_x2!M20-Tinh_toan_x2!E58)/Tinh_toan_x2!E58</x:f>
        <x:v>-0.2742857142857143</x:v>
      </x:c>
      <x:c r="F15" s="4" t="n">
        <x:f>I14</x:f>
        <x:v>0.06857142857142857</x:v>
      </x:c>
      <x:c r="G15" s="4" t="n">
        <x:f>J14</x:f>
        <x:v>0.11142857142857145</x:v>
      </x:c>
      <x:c r="H15" s="4" t="n">
        <x:f>H14+B14</x:f>
        <x:v>123.75</x:v>
      </x:c>
      <x:c r="I15" s="4" t="n">
        <x:f>F15+E15*B15</x:f>
        <x:v>0</x:v>
      </x:c>
      <x:c r="J15" s="4" t="n">
        <x:f>G15+F15*B15+0.5*E15*B15^2</x:f>
        <x:v>0.12000000000000001</x:v>
      </x:c>
      <x:c r="K15" s="4" t="n">
        <x:f>G15*B15+0.5*F15*B15^2+E15*B15^3/6</x:f>
        <x:v>0.02928571428571429</x:v>
      </x:c>
      <x:c r="L15" s="4" t="n">
        <x:f>SUM(J76:J79)</x:f>
        <x:v>6612.889985839206</x:v>
      </x:c>
      <x:c r="M15" s="4" t="n">
        <x:f>SUM(K76:K79)</x:f>
        <x:v>0.7750917676391601</x:v>
      </x:c>
      <x:c r="N15" s="4" t="n">
        <x:f>MAX(ABS(D15*(C15*(Tinh_toan_x2!E14*Tinh_toan_x2!E17+F15)*Tinh_toan_x2!E12/(2*Tinh_toan_x2!E15*Tinh_toan_x2!E13)+(Tinh_toan_x2!C48+Tinh_toan_x2!E52+Tinh_toan_x2!E53/Tinh_toan_x2!E13^2)*2*Tinh_toan_x2!E13/Tinh_toan_x2!E12*F15)),ABS(D15*(C15*(Tinh_toan_x2!E14*Tinh_toan_x2!E17+I15)*Tinh_toan_x2!E12/(2*Tinh_toan_x2!E15*Tinh_toan_x2!E13)+(Tinh_toan_x2!C48+Tinh_toan_x2!E52+Tinh_toan_x2!E53/Tinh_toan_x2!E13^2)*2*Tinh_toan_x2!E13/Tinh_toan_x2!E12*I15)))</x:f>
        <x:v>2.7263906250000005</x:v>
      </x:c>
    </x:row>
    <x:row r="16" ht="32" customHeight="1">
      <x:c r="A16" s="3" t="str">
        <x:v>Không tải đều</x:v>
      </x:c>
      <x:c r="B16" s="4" t="n">
        <x:f>Tinh_toan_x2!M26</x:f>
        <x:v>82.5</x:v>
      </x:c>
      <x:c r="C16" s="4" t="n">
        <x:f>Tinh_toan_x2!E7+Tinh_toan_x2!E51</x:f>
        <x:v>222</x:v>
      </x:c>
      <x:c r="D16" s="4" t="n">
        <x:v>-1</x:v>
      </x:c>
      <x:c r="E16" s="4" t="n">
        <x:f>0</x:f>
        <x:v>0</x:v>
      </x:c>
      <x:c r="F16" s="4" t="n">
        <x:f>I15</x:f>
        <x:v>0</x:v>
      </x:c>
      <x:c r="G16" s="4" t="n">
        <x:f>J15</x:f>
        <x:v>0.12000000000000001</x:v>
      </x:c>
      <x:c r="H16" s="4" t="n">
        <x:f>H15+B15</x:f>
        <x:v>124</x:v>
      </x:c>
      <x:c r="I16" s="4" t="n">
        <x:f>F16+E16*B16</x:f>
        <x:v>0</x:v>
      </x:c>
      <x:c r="J16" s="4" t="n">
        <x:f>G16+F16*B16+0.5*E16*B16^2</x:f>
        <x:v>0.12000000000000001</x:v>
      </x:c>
      <x:c r="K16" s="4" t="n">
        <x:f>G16*B16+0.5*F16*B16^2+E16*B16^3/6</x:f>
        <x:v>9.9</x:v>
      </x:c>
      <x:c r="L16" s="4" t="n">
        <x:f>SUM(J80:J83)</x:f>
        <x:v>244555.77879562508</x:v>
      </x:c>
      <x:c r="M16" s="4" t="n">
        <x:f>SUM(K80:K83)</x:f>
        <x:v>26.536000303344732</x:v>
      </x:c>
      <x:c r="N16" s="4" t="n">
        <x:f>MAX(ABS(D16*(C16*(Tinh_toan_x2!E14*Tinh_toan_x2!E17+F16)*Tinh_toan_x2!E12/(2*Tinh_toan_x2!E15*Tinh_toan_x2!E13)+(Tinh_toan_x2!C48+Tinh_toan_x2!E52+Tinh_toan_x2!E53/Tinh_toan_x2!E13^2)*2*Tinh_toan_x2!E13/Tinh_toan_x2!E12*F16)),ABS(D16*(C16*(Tinh_toan_x2!E14*Tinh_toan_x2!E17+I16)*Tinh_toan_x2!E12/(2*Tinh_toan_x2!E15*Tinh_toan_x2!E13)+(Tinh_toan_x2!C48+Tinh_toan_x2!E52+Tinh_toan_x2!E53/Tinh_toan_x2!E13^2)*2*Tinh_toan_x2!E13/Tinh_toan_x2!E12*I16)))</x:f>
        <x:v>0.5671406250000001</x:v>
      </x:c>
    </x:row>
    <x:row r="17" ht="32" customHeight="1">
      <x:c r="A17" s="3" t="str">
        <x:v>Không tải giảm j-</x:v>
      </x:c>
      <x:c r="B17" s="4" t="n">
        <x:f>Tinh_toan_x2!E58</x:f>
        <x:v>0.25</x:v>
      </x:c>
      <x:c r="C17" s="4" t="n">
        <x:f>Tinh_toan_x2!E7+Tinh_toan_x2!E51</x:f>
        <x:v>222</x:v>
      </x:c>
      <x:c r="D17" s="4" t="n">
        <x:v>-1</x:v>
      </x:c>
      <x:c r="E17" s="4" t="n">
        <x:f>-Tinh_toan_x2!E9/(Tinh_toan_x2!M29-Tinh_toan_x2!E58)/Tinh_toan_x2!E58</x:f>
        <x:v>-0.10105263157894738</x:v>
      </x:c>
      <x:c r="F17" s="4" t="n">
        <x:f>I16</x:f>
        <x:v>0</x:v>
      </x:c>
      <x:c r="G17" s="4" t="n">
        <x:f>J16</x:f>
        <x:v>0.12000000000000001</x:v>
      </x:c>
      <x:c r="H17" s="4" t="n">
        <x:f>H16+B16</x:f>
        <x:v>206.5</x:v>
      </x:c>
      <x:c r="I17" s="4" t="n">
        <x:f>F17+E17*B17</x:f>
        <x:v>-0.025263157894736845</x:v>
      </x:c>
      <x:c r="J17" s="4" t="n">
        <x:f>G17+F17*B17+0.5*E17*B17^2</x:f>
        <x:v>0.1168421052631579</x:v>
      </x:c>
      <x:c r="K17" s="4" t="n">
        <x:f>G17*B17+0.5*F17*B17^2+E17*B17^3/6</x:f>
        <x:v>0.02973684210526316</x:v>
      </x:c>
      <x:c r="L17" s="4" t="n">
        <x:f>SUM(J84:J87)</x:f>
        <x:v>186.62198597776302</x:v>
      </x:c>
      <x:c r="M17" s="4" t="n">
        <x:f>SUM(K84:K87)</x:f>
        <x:v>0.020356930105616178</x:v>
      </x:c>
      <x:c r="N17" s="4" t="n">
        <x:f>MAX(ABS(D17*(C17*(Tinh_toan_x2!E14*Tinh_toan_x2!E17+F17)*Tinh_toan_x2!E12/(2*Tinh_toan_x2!E15*Tinh_toan_x2!E13)+(Tinh_toan_x2!C48+Tinh_toan_x2!E52+Tinh_toan_x2!E53/Tinh_toan_x2!E13^2)*2*Tinh_toan_x2!E13/Tinh_toan_x2!E12*F17)),ABS(D17*(C17*(Tinh_toan_x2!E14*Tinh_toan_x2!E17+I17)*Tinh_toan_x2!E12/(2*Tinh_toan_x2!E15*Tinh_toan_x2!E13)+(Tinh_toan_x2!C48+Tinh_toan_x2!E52+Tinh_toan_x2!E53/Tinh_toan_x2!E13^2)*2*Tinh_toan_x2!E13/Tinh_toan_x2!E12*I17)))</x:f>
        <x:v>0.5671406250000001</x:v>
      </x:c>
    </x:row>
    <x:row r="18" ht="32" customHeight="1">
      <x:c r="A18" s="3" t="str">
        <x:v>Không tải giảm a</x:v>
      </x:c>
      <x:c r="B18" s="4" t="n">
        <x:f>Tinh_toan_x2!M29-2*Tinh_toan_x2!E58</x:f>
        <x:v>4.5</x:v>
      </x:c>
      <x:c r="C18" s="4" t="n">
        <x:f>Tinh_toan_x2!E7+Tinh_toan_x2!E51</x:f>
        <x:v>222</x:v>
      </x:c>
      <x:c r="D18" s="4" t="n">
        <x:v>-1</x:v>
      </x:c>
      <x:c r="E18" s="4" t="n">
        <x:f>0</x:f>
        <x:v>0</x:v>
      </x:c>
      <x:c r="F18" s="4" t="n">
        <x:f>I17</x:f>
        <x:v>-0.025263157894736845</x:v>
      </x:c>
      <x:c r="G18" s="4" t="n">
        <x:f>J17</x:f>
        <x:v>0.1168421052631579</x:v>
      </x:c>
      <x:c r="H18" s="4" t="n">
        <x:f>H17+B17</x:f>
        <x:v>206.75</x:v>
      </x:c>
      <x:c r="I18" s="4" t="n">
        <x:f>F18+E18*B18</x:f>
        <x:v>-0.025263157894736845</x:v>
      </x:c>
      <x:c r="J18" s="4" t="n">
        <x:f>G18+F18*B18+0.5*E18*B18^2</x:f>
        <x:v>0.0031578947368420957</x:v>
      </x:c>
      <x:c r="K18" s="4" t="n">
        <x:f>G18*B18+0.5*F18*B18^2+E18*B18^3/6</x:f>
        <x:v>0.27</x:v>
      </x:c>
      <x:c r="L18" s="4" t="n">
        <x:f>SUM(J88:J91)</x:f>
        <x:v>702.5032968925267</x:v>
      </x:c>
      <x:c r="M18" s="4" t="n">
        <x:f>SUM(K88:K91)</x:f>
        <x:v>0.23469306201340961</x:v>
      </x:c>
      <x:c r="N18" s="4" t="n">
        <x:f>MAX(ABS(D18*(C18*(Tinh_toan_x2!E14*Tinh_toan_x2!E17+F18)*Tinh_toan_x2!E12/(2*Tinh_toan_x2!E15*Tinh_toan_x2!E13)+(Tinh_toan_x2!C48+Tinh_toan_x2!E52+Tinh_toan_x2!E53/Tinh_toan_x2!E13^2)*2*Tinh_toan_x2!E13/Tinh_toan_x2!E12*F18)),ABS(D18*(C18*(Tinh_toan_x2!E14*Tinh_toan_x2!E17+I18)*Tinh_toan_x2!E12/(2*Tinh_toan_x2!E15*Tinh_toan_x2!E13)+(Tinh_toan_x2!C48+Tinh_toan_x2!E52+Tinh_toan_x2!E53/Tinh_toan_x2!E13^2)*2*Tinh_toan_x2!E13/Tinh_toan_x2!E12*I18)))</x:f>
        <x:v>0.2283725328947369</x:v>
      </x:c>
    </x:row>
    <x:row r="19" ht="32" customHeight="1">
      <x:c r="A19" s="3" t="str">
        <x:v>Không tải giảm j+</x:v>
      </x:c>
      <x:c r="B19" s="4" t="n">
        <x:f>Tinh_toan_x2!E58</x:f>
        <x:v>0.25</x:v>
      </x:c>
      <x:c r="C19" s="4" t="n">
        <x:f>Tinh_toan_x2!E7+Tinh_toan_x2!E51</x:f>
        <x:v>222</x:v>
      </x:c>
      <x:c r="D19" s="4" t="n">
        <x:v>-1</x:v>
      </x:c>
      <x:c r="E19" s="4" t="n">
        <x:f>Tinh_toan_x2!E9/(Tinh_toan_x2!M29-Tinh_toan_x2!E58)/Tinh_toan_x2!E58</x:f>
        <x:v>0.10105263157894738</x:v>
      </x:c>
      <x:c r="F19" s="4" t="n">
        <x:f>I18</x:f>
        <x:v>-0.025263157894736845</x:v>
      </x:c>
      <x:c r="G19" s="4" t="n">
        <x:f>J18</x:f>
        <x:v>0.0031578947368420957</x:v>
      </x:c>
      <x:c r="H19" s="4" t="n">
        <x:f>H18+B18</x:f>
        <x:v>211.25</x:v>
      </x:c>
      <x:c r="I19" s="4" t="n">
        <x:f>F19+E19*B19</x:f>
        <x:v>0</x:v>
      </x:c>
      <x:c r="J19" s="4" t="n">
        <x:f>G19+F19*B19+0.5*E19*B19^2</x:f>
        <x:v>-9.974659986866641e-18</x:v>
      </x:c>
      <x:c r="K19" s="4" t="n">
        <x:f>G19*B19+0.5*F19*B19^2+E19*B19^3/6</x:f>
        <x:v>0.00026315789473683966</x:v>
      </x:c>
      <x:c r="L19" s="4" t="n">
        <x:f>SUM(J92:J95)</x:f>
        <x:v>0.006934824067135109</x:v>
      </x:c>
      <x:c r="M19" s="4" t="n">
        <x:f>SUM(K92:K95)</x:f>
        <x:v>0.02035693010561617</x:v>
      </x:c>
      <x:c r="N19" s="4" t="n">
        <x:f>MAX(ABS(D19*(C19*(Tinh_toan_x2!E14*Tinh_toan_x2!E17+F19)*Tinh_toan_x2!E12/(2*Tinh_toan_x2!E15*Tinh_toan_x2!E13)+(Tinh_toan_x2!C48+Tinh_toan_x2!E52+Tinh_toan_x2!E53/Tinh_toan_x2!E13^2)*2*Tinh_toan_x2!E13/Tinh_toan_x2!E12*F19)),ABS(D19*(C19*(Tinh_toan_x2!E14*Tinh_toan_x2!E17+I19)*Tinh_toan_x2!E12/(2*Tinh_toan_x2!E15*Tinh_toan_x2!E13)+(Tinh_toan_x2!C48+Tinh_toan_x2!E52+Tinh_toan_x2!E53/Tinh_toan_x2!E13^2)*2*Tinh_toan_x2!E13/Tinh_toan_x2!E12*I19)))</x:f>
        <x:v>0.5671406250000001</x:v>
      </x:c>
    </x:row>
    <x:row r="20" ht="32" customHeight="1">
      <x:c r="A20" s="3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</x:row>
    <x:row r="21" ht="32" customHeight="1">
      <x:c r="A21" s="3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</x:row>
    <x:row r="22" ht="40" customHeight="1">
      <x:c r="A22" s="3" t="str">
        <x:v>Thời gian chu kỳ</x:v>
      </x:c>
      <x:c r="B22" s="4" t="n">
        <x:f>SUM(B5:B19)</x:f>
        <x:v>211.5</x:v>
      </x:c>
      <x:c r="C22" s="4" t="str">
        <x:v>s</x:v>
      </x:c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</x:row>
    <x:row r="23" ht="40" customHeight="1">
      <x:c r="A23" s="3" t="str">
        <x:v>Quãng đường đi</x:v>
      </x:c>
      <x:c r="B23" s="4" t="n">
        <x:f>SUM(K5:K11)</x:f>
        <x:v>10.32</x:v>
      </x:c>
      <x:c r="C23" s="4" t="str">
        <x:v>m</x:v>
      </x:c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</x:row>
    <x:row r="24" ht="40" customHeight="1">
      <x:c r="A24" s="3" t="str">
        <x:v>Quãng đường về</x:v>
      </x:c>
      <x:c r="B24" s="4" t="n">
        <x:f>SUM(K13:K19)</x:f>
        <x:v>10.32</x:v>
      </x:c>
      <x:c r="C24" s="4" t="str">
        <x:v>m</x:v>
      </x:c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</x:row>
    <x:row r="25" ht="40" customHeight="1">
      <x:c r="A25" s="3" t="str">
        <x:v>Công suất hiệu dụng motor</x:v>
      </x:c>
      <x:c r="B25" s="4" t="n">
        <x:f>SQRT(SUM(L5:L19)/B22)</x:f>
        <x:v>1924.6694715794124</x:v>
      </x:c>
      <x:c r="C25" s="4" t="str">
        <x:v>W</x:v>
      </x:c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</x:row>
    <x:row r="26" ht="40" customHeight="1">
      <x:c r="A26" s="3" t="str">
        <x:v>Mô-men RMS motor</x:v>
      </x:c>
      <x:c r="B26" s="4" t="n">
        <x:f>SQRT(SUM(M5:M19)/B22)</x:f>
        <x:v>20.973820904570346</x:v>
      </x:c>
      <x:c r="C26" s="4" t="str">
        <x:v>N·m</x:v>
      </x:c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</x:row>
    <x:row r="27" ht="40" customHeight="1">
      <x:c r="A27" s="3" t="str">
        <x:v>Mô-men motor đỉnh</x:v>
      </x:c>
      <x:c r="B27" s="4" t="n">
        <x:f>MAX(N5:N19)</x:f>
        <x:v>35.04103125</x:v>
      </x:c>
      <x:c r="C27" s="4" t="str">
        <x:v>N·m</x:v>
      </x:c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</x:row>
    <x:row r="28" ht="40" customHeight="1">
      <x:c r="A28" s="3" t="str">
        <x:v>Gia tốc lớn nhất</x:v>
      </x:c>
      <x:c r="B28" s="4" t="n">
        <x:f>MAX(MAX(F5:F19),-MIN(F5:F19),MAX(I5:I19),-MIN(I5:I19))</x:f>
        <x:v>0.06857142857142857</x:v>
      </x:c>
      <x:c r="C28" s="4" t="str">
        <x:v>m/s²</x:v>
      </x:c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</x:row>
    <x:row r="29" ht="40" customHeight="1">
      <x:c r="A29" s="3" t="str">
        <x:v>Jerk lớn nhất</x:v>
      </x:c>
      <x:c r="B29" s="4" t="n">
        <x:f>MAX(MAX(E5:E19),-MIN(E5:E19))</x:f>
        <x:v>0.2742857142857143</x:v>
      </x:c>
      <x:c r="C29" s="4" t="str">
        <x:v>m/s³</x:v>
      </x:c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</x:row>
    <x:row r="30" ht="40" customHeight="1">
      <x:c r="A30" s="3" t="str">
        <x:v>Công suất hiệu dụng có dự trữ</x:v>
      </x:c>
      <x:c r="B30" s="4" t="n">
        <x:f>B25*Tinh_toan_x2!E16</x:f>
        <x:v>2309.6033658952947</x:v>
      </x:c>
      <x:c r="C30" s="4" t="str">
        <x:v>W</x:v>
      </x:c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</x:row>
    <x:row r="31" ht="40" customHeight="1">
      <x:c r="A31" s="3" t="str">
        <x:v>Kiểm tra quỹ đạo</x:v>
      </x:c>
      <x:c r="B31" s="4" t="str">
        <x:f>IF(AND(B28&lt;=Tinh_toan_x2!E10,B29&lt;=Tinh_toan_x2!E11,ABS(B23-B24)&lt;0.000001,MIN(B5:B19)&gt;=0),"Đạt theo đầu vào","CẦN SỬA")</x:f>
        <x:v>Đạt theo đầu vào</x:v>
      </x:c>
      <x:c r="C31" s="4" t="str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</x:row>
    <x:row r="32" ht="40" customHeight="1">
      <x:c r="A32" s="3" t="str">
        <x:v>Mô hình lực cản khi giảm tốc</x:v>
      </x:c>
      <x:c r="B32" s="4" t="str">
        <x:f>IF(Tinh_toan_x2!E14*Tinh_toan_x2!E17+B28&gt;0,IF(Tinh_toan_x2!E14*Tinh_toan_x2!E17&gt; B28,"Áp dụng công thức thuận","CẦN XÉT HIỆU SUẤT NGƯỢC"),"CẦN XÉT LẠI")</x:f>
        <x:v>Áp dụng công thức thuận</x:v>
      </x:c>
      <x:c r="C32" s="4" t="str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</x:row>
    <x:row r="33" ht="32" customHeight="1">
      <x:c r="A33" s="3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</x:row>
    <x:row r="34" ht="44" customHeight="1">
      <x:c r="A34" s="3" t="str">
        <x:v>Tích phân Gauss 4 điểm cho mỗi pha: chính xác cho P² là đa thức bậc ≤ 6; công suất trung bình không thay cho RMS.</x:v>
      </x:c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</x:row>
    <x:row r="35" ht="32" customHeight="1">
      <x:c r="A35" s="5" t="str">
        <x:v>Pha</x:v>
      </x:c>
      <x:c r="B35" s="6" t="str">
        <x:v>Trọng số × Δt</x:v>
      </x:c>
      <x:c r="C35" s="6" t="str">
        <x:v>u</x:v>
      </x:c>
      <x:c r="D35" s="6" t="str">
        <x:v>τ (s)</x:v>
      </x:c>
      <x:c r="E35" s="6" t="str">
        <x:v>v dọc đường</x:v>
      </x:c>
      <x:c r="F35" s="6" t="str">
        <x:v>a dọc đường</x:v>
      </x:c>
      <x:c r="G35" s="6" t="str">
        <x:v>F có dấu</x:v>
      </x:c>
      <x:c r="H35" s="6" t="str">
        <x:v>M motor</x:v>
      </x:c>
      <x:c r="I35" s="6" t="str">
        <x:v>P motor</x:v>
      </x:c>
      <x:c r="J35" s="6" t="str">
        <x:v>P² × dt</x:v>
      </x:c>
      <x:c r="K35" s="6" t="str">
        <x:v>M² × dt</x:v>
      </x:c>
      <x:c r="L35" s="4"/>
      <x:c r="M35" s="4"/>
      <x:c r="N35" s="4"/>
    </x:row>
    <x:row r="36" ht="32" customHeight="1">
      <x:c r="A36" s="3" t="str">
        <x:f>A5</x:f>
        <x:v>Có tải tăng j+</x:v>
      </x:c>
      <x:c r="B36" s="4" t="n">
        <x:f>B5*0.173927422568727</x:f>
        <x:v>0.04348185564218175</x:v>
      </x:c>
      <x:c r="C36" s="4" t="n">
        <x:v>0.0694318442029737</x:v>
      </x:c>
      <x:c r="D36" s="4" t="n">
        <x:f>B5*C36</x:f>
        <x:v>0.017357961050743425</x:v>
      </x:c>
      <x:c r="E36" s="4" t="n">
        <x:f>G5+F5*D36+0.5*E5*D36^2</x:f>
        <x:v>0.000041320979909365826</x:v>
      </x:c>
      <x:c r="F36" s="4" t="n">
        <x:f>F5+E5*D36</x:f>
        <x:v>0.004761040745346768</x:v>
      </x:c>
      <x:c r="G36" s="4" t="n">
        <x:f>D5*C5*(Tinh_toan_x2!E14*Tinh_toan_x2!E17+F36)</x:f>
        <x:v>24474.374391035097</x:v>
      </x:c>
      <x:c r="H36" s="4" t="n">
        <x:f>G36*Tinh_toan_x2!E12/(2*Tinh_toan_x2!E15*Tinh_toan_x2!E13)+D5*(Tinh_toan_x2!C48+Tinh_toan_x2!E52+Tinh_toan_x2!E53/Tinh_toan_x2!E13^2)*2*Tinh_toan_x2!E13/Tinh_toan_x2!E12*F36</x:f>
        <x:v>32.01621945958177</x:v>
      </x:c>
      <x:c r="I36" s="4" t="n">
        <x:f>H36*D5*E36*2*Tinh_toan_x2!E13/Tinh_toan_x2!E12</x:f>
        <x:v>1.0583532488505805</x:v>
      </x:c>
      <x:c r="J36" s="4" t="n">
        <x:f>I36^2*B36</x:f>
        <x:v>0.04870453086618215</x:v>
      </x:c>
      <x:c r="K36" s="4" t="n">
        <x:f>H36^2*B36</x:f>
        <x:v>44.570567757211904</x:v>
      </x:c>
      <x:c r="L36" s="4"/>
      <x:c r="M36" s="4"/>
      <x:c r="N36" s="4"/>
    </x:row>
    <x:row r="37" ht="32" customHeight="1">
      <x:c r="A37" s="3" t="str">
        <x:f>A5</x:f>
        <x:v>Có tải tăng j+</x:v>
      </x:c>
      <x:c r="B37" s="4" t="n">
        <x:f>B5*0.326072577431273</x:f>
        <x:v>0.08151814435781825</x:v>
      </x:c>
      <x:c r="C37" s="4" t="n">
        <x:v>0.330009478207572</x:v>
      </x:c>
      <x:c r="D37" s="4" t="n">
        <x:f>B5*C37</x:f>
        <x:v>0.082502369551893</x:v>
      </x:c>
      <x:c r="E37" s="4" t="n">
        <x:f>G5+F5*D37+0.5*E5*D37^2</x:f>
        <x:v>0.0009334821917728624</x:v>
      </x:c>
      <x:c r="F37" s="4" t="n">
        <x:f>F5+E5*D37</x:f>
        <x:v>0.022629221362804937</x:v>
      </x:c>
      <x:c r="G37" s="4" t="n">
        <x:f>D5*C5*(Tinh_toan_x2!E14*Tinh_toan_x2!E17+F37)</x:f>
        <x:v>24696.726030638747</x:v>
      </x:c>
      <x:c r="H37" s="4" t="n">
        <x:f>G37*Tinh_toan_x2!E12/(2*Tinh_toan_x2!E15*Tinh_toan_x2!E13)+D5*(Tinh_toan_x2!C48+Tinh_toan_x2!E52+Tinh_toan_x2!E53/Tinh_toan_x2!E13^2)*2*Tinh_toan_x2!E13/Tinh_toan_x2!E12*F37</x:f>
        <x:v>32.863227058913715</x:v>
      </x:c>
      <x:c r="I37" s="4" t="n">
        <x:f>H37*D5*E37*2*Tinh_toan_x2!E13/Tinh_toan_x2!E12</x:f>
        <x:v>24.54178977894721</x:v>
      </x:c>
      <x:c r="J37" s="4" t="n">
        <x:f>I37^2*B37</x:f>
        <x:v>49.09833314930793</x:v>
      </x:c>
      <x:c r="K37" s="4" t="n">
        <x:f>H37^2*B37</x:f>
        <x:v>88.03891871285961</x:v>
      </x:c>
      <x:c r="L37" s="4"/>
      <x:c r="M37" s="4"/>
      <x:c r="N37" s="4"/>
    </x:row>
    <x:row r="38" ht="32" customHeight="1">
      <x:c r="A38" s="3" t="str">
        <x:f>A5</x:f>
        <x:v>Có tải tăng j+</x:v>
      </x:c>
      <x:c r="B38" s="4" t="n">
        <x:f>B5*0.326072577431273</x:f>
        <x:v>0.08151814435781825</x:v>
      </x:c>
      <x:c r="C38" s="4" t="n">
        <x:v>0.669990521792428</x:v>
      </x:c>
      <x:c r="D38" s="4" t="n">
        <x:f>B5*C38</x:f>
        <x:v>0.167497630448107</x:v>
      </x:c>
      <x:c r="E38" s="4" t="n">
        <x:f>G5+F5*D38+0.5*E5*D38^2</x:f>
        <x:v>0.0038476054225002</x:v>
      </x:c>
      <x:c r="F38" s="4" t="n">
        <x:f>F5+E5*D38</x:f>
        <x:v>0.04594220720862364</x:v>
      </x:c>
      <x:c r="G38" s="4" t="n">
        <x:f>D5*C5*(Tinh_toan_x2!E14*Tinh_toan_x2!E17+F38)</x:f>
        <x:v>24986.832826504116</x:v>
      </x:c>
      <x:c r="H38" s="4" t="n">
        <x:f>G38*Tinh_toan_x2!E12/(2*Tinh_toan_x2!E15*Tinh_toan_x2!E13)+D5*(Tinh_toan_x2!C48+Tinh_toan_x2!E52+Tinh_toan_x2!E53/Tinh_toan_x2!E13^2)*2*Tinh_toan_x2!E13/Tinh_toan_x2!E12*F38</x:f>
        <x:v>33.96833544108629</x:v>
      </x:c>
      <x:c r="I38" s="4" t="n">
        <x:f>H38*D5*E38*2*Tinh_toan_x2!E13/Tinh_toan_x2!E12</x:f>
        <x:v>104.55740130914346</x:v>
      </x:c>
      <x:c r="J38" s="4" t="n">
        <x:f>I38^2*B38</x:f>
        <x:v>891.1767473933</x:v>
      </x:c>
      <x:c r="K38" s="4" t="n">
        <x:f>H38^2*B38</x:f>
        <x:v>94.05953255759025</x:v>
      </x:c>
      <x:c r="L38" s="4"/>
      <x:c r="M38" s="4"/>
      <x:c r="N38" s="4"/>
    </x:row>
    <x:row r="39" ht="32" customHeight="1">
      <x:c r="A39" s="3" t="str">
        <x:f>A5</x:f>
        <x:v>Có tải tăng j+</x:v>
      </x:c>
      <x:c r="B39" s="4" t="n">
        <x:f>B5*0.173927422568727</x:f>
        <x:v>0.04348185564218175</x:v>
      </x:c>
      <x:c r="C39" s="4" t="n">
        <x:v>0.930568155797026</x:v>
      </x:c>
      <x:c r="D39" s="4" t="n">
        <x:f>B5*C39</x:f>
        <x:v>0.2326420389492565</x:v>
      </x:c>
      <x:c r="E39" s="4" t="n">
        <x:f>G5+F5*D39+0.5*E5*D39^2</x:f>
        <x:v>0.007422489365001241</x:v>
      </x:c>
      <x:c r="F39" s="4" t="n">
        <x:f>F5+E5*D39</x:f>
        <x:v>0.06381038782608178</x:v>
      </x:c>
      <x:c r="G39" s="4" t="n">
        <x:f>D5*C5*(Tinh_toan_x2!E14*Tinh_toan_x2!E17+F39)</x:f>
        <x:v>25209.184466107763</x:v>
      </x:c>
      <x:c r="H39" s="4" t="n">
        <x:f>G39*Tinh_toan_x2!E12/(2*Tinh_toan_x2!E15*Tinh_toan_x2!E13)+D5*(Tinh_toan_x2!C48+Tinh_toan_x2!E52+Tinh_toan_x2!E53/Tinh_toan_x2!E13^2)*2*Tinh_toan_x2!E13/Tinh_toan_x2!E12*F39</x:f>
        <x:v>34.815343040418234</x:v>
      </x:c>
      <x:c r="I39" s="4" t="n">
        <x:f>H39*D5*E39*2*Tinh_toan_x2!E13/Tinh_toan_x2!E12</x:f>
        <x:v>206.73321076509947</x:v>
      </x:c>
      <x:c r="J39" s="4" t="n">
        <x:f>I39^2*B39</x:f>
        <x:v>1858.354524024447</x:v>
      </x:c>
      <x:c r="K39" s="4" t="n">
        <x:f>H39^2*B39</x:f>
        <x:v>52.70470990617615</x:v>
      </x:c>
      <x:c r="L39" s="4"/>
      <x:c r="M39" s="4"/>
      <x:c r="N39" s="4"/>
    </x:row>
    <x:row r="40" ht="32" customHeight="1">
      <x:c r="A40" s="3" t="str">
        <x:f>A6</x:f>
        <x:v>Có tải tăng a</x:v>
      </x:c>
      <x:c r="B40" s="4" t="n">
        <x:f>B6*0.173927422568727</x:f>
        <x:v>0.2608911338530905</x:v>
      </x:c>
      <x:c r="C40" s="4" t="n">
        <x:v>0.0694318442029737</x:v>
      </x:c>
      <x:c r="D40" s="4" t="n">
        <x:f>B6*C40</x:f>
        <x:v>0.10414776630446054</x:v>
      </x:c>
      <x:c r="E40" s="4" t="n">
        <x:f>G6+F6*D40+0.5*E6*D40^2</x:f>
        <x:v>0.015712989689448724</x:v>
      </x:c>
      <x:c r="F40" s="4" t="n">
        <x:f>F6+E6*D40</x:f>
        <x:v>0.06857142857142857</x:v>
      </x:c>
      <x:c r="G40" s="4" t="n">
        <x:f>D6*C6*(Tinh_toan_x2!E14*Tinh_toan_x2!E17+F40)</x:f>
        <x:v>25268.43085714286</x:v>
      </x:c>
      <x:c r="H40" s="4" t="n">
        <x:f>G40*Tinh_toan_x2!E12/(2*Tinh_toan_x2!E15*Tinh_toan_x2!E13)+D6*(Tinh_toan_x2!C48+Tinh_toan_x2!E52+Tinh_toan_x2!E53/Tinh_toan_x2!E13^2)*2*Tinh_toan_x2!E13/Tinh_toan_x2!E12*F40</x:f>
        <x:v>35.04103125</x:v>
      </x:c>
      <x:c r="I40" s="4" t="n">
        <x:f>H40*D6*E40*2*Tinh_toan_x2!E13/Tinh_toan_x2!E12</x:f>
        <x:v>440.4794901911204</x:v>
      </x:c>
      <x:c r="J40" s="4" t="n">
        <x:f>I40^2*B40</x:f>
        <x:v>50618.66686653583</x:v>
      </x:c>
      <x:c r="K40" s="4" t="n">
        <x:f>H40^2*B40</x:f>
        <x:v>320.3414064503339</x:v>
      </x:c>
      <x:c r="L40" s="4"/>
      <x:c r="M40" s="4"/>
      <x:c r="N40" s="4"/>
    </x:row>
    <x:row r="41" ht="32" customHeight="1">
      <x:c r="A41" s="3" t="str">
        <x:f>A6</x:f>
        <x:v>Có tải tăng a</x:v>
      </x:c>
      <x:c r="B41" s="4" t="n">
        <x:f>B6*0.326072577431273</x:f>
        <x:v>0.4891088661469095</x:v>
      </x:c>
      <x:c r="C41" s="4" t="n">
        <x:v>0.330009478207572</x:v>
      </x:c>
      <x:c r="D41" s="4" t="n">
        <x:f>B6*C41</x:f>
        <x:v>0.495014217311358</x:v>
      </x:c>
      <x:c r="E41" s="4" t="n">
        <x:f>G6+F6*D41+0.5*E6*D41^2</x:f>
        <x:v>0.04251526061563598</x:v>
      </x:c>
      <x:c r="F41" s="4" t="n">
        <x:f>F6+E6*D41</x:f>
        <x:v>0.06857142857142857</x:v>
      </x:c>
      <x:c r="G41" s="4" t="n">
        <x:f>D6*C6*(Tinh_toan_x2!E14*Tinh_toan_x2!E17+F41)</x:f>
        <x:v>25268.43085714286</x:v>
      </x:c>
      <x:c r="H41" s="4" t="n">
        <x:f>G41*Tinh_toan_x2!E12/(2*Tinh_toan_x2!E15*Tinh_toan_x2!E13)+D6*(Tinh_toan_x2!C48+Tinh_toan_x2!E52+Tinh_toan_x2!E53/Tinh_toan_x2!E13^2)*2*Tinh_toan_x2!E13/Tinh_toan_x2!E12*F41</x:f>
        <x:v>35.04103125</x:v>
      </x:c>
      <x:c r="I41" s="4" t="n">
        <x:f>H41*D6*E41*2*Tinh_toan_x2!E13/Tinh_toan_x2!E12</x:f>
        <x:v>1191.8228606675157</x:v>
      </x:c>
      <x:c r="J41" s="4" t="n">
        <x:f>I41^2*B41</x:f>
        <x:v>694750.6445797298</x:v>
      </x:c>
      <x:c r="K41" s="4" t="n">
        <x:f>H41^2*B41</x:f>
        <x:v>600.5639968472738</x:v>
      </x:c>
      <x:c r="L41" s="4"/>
      <x:c r="M41" s="4"/>
      <x:c r="N41" s="4"/>
    </x:row>
    <x:row r="42" ht="32" customHeight="1">
      <x:c r="A42" s="3" t="str">
        <x:f>A6</x:f>
        <x:v>Có tải tăng a</x:v>
      </x:c>
      <x:c r="B42" s="4" t="n">
        <x:f>B6*0.326072577431273</x:f>
        <x:v>0.4891088661469095</x:v>
      </x:c>
      <x:c r="C42" s="4" t="n">
        <x:v>0.669990521792428</x:v>
      </x:c>
      <x:c r="D42" s="4" t="n">
        <x:f>B6*C42</x:f>
        <x:v>1.004985782688642</x:v>
      </x:c>
      <x:c r="E42" s="4" t="n">
        <x:f>G6+F6*D42+0.5*E6*D42^2</x:f>
        <x:v>0.07748473938436402</x:v>
      </x:c>
      <x:c r="F42" s="4" t="n">
        <x:f>F6+E6*D42</x:f>
        <x:v>0.06857142857142857</x:v>
      </x:c>
      <x:c r="G42" s="4" t="n">
        <x:f>D6*C6*(Tinh_toan_x2!E14*Tinh_toan_x2!E17+F42)</x:f>
        <x:v>25268.43085714286</x:v>
      </x:c>
      <x:c r="H42" s="4" t="n">
        <x:f>G42*Tinh_toan_x2!E12/(2*Tinh_toan_x2!E15*Tinh_toan_x2!E13)+D6*(Tinh_toan_x2!C48+Tinh_toan_x2!E52+Tinh_toan_x2!E53/Tinh_toan_x2!E13^2)*2*Tinh_toan_x2!E13/Tinh_toan_x2!E12*F42</x:f>
        <x:v>35.04103125</x:v>
      </x:c>
      <x:c r="I42" s="4" t="n">
        <x:f>H42*D6*E42*2*Tinh_toan_x2!E13/Tinh_toan_x2!E12</x:f>
        <x:v>2172.1161393324846</x:v>
      </x:c>
      <x:c r="J42" s="4" t="n">
        <x:f>I42^2*B42</x:f>
        <x:v>2307658.9277423434</x:v>
      </x:c>
      <x:c r="K42" s="4" t="n">
        <x:f>H42^2*B42</x:f>
        <x:v>600.5639968472738</x:v>
      </x:c>
      <x:c r="L42" s="4"/>
      <x:c r="M42" s="4"/>
      <x:c r="N42" s="4"/>
    </x:row>
    <x:row r="43" ht="32" customHeight="1">
      <x:c r="A43" s="3" t="str">
        <x:f>A6</x:f>
        <x:v>Có tải tăng a</x:v>
      </x:c>
      <x:c r="B43" s="4" t="n">
        <x:f>B6*0.173927422568727</x:f>
        <x:v>0.2608911338530905</x:v>
      </x:c>
      <x:c r="C43" s="4" t="n">
        <x:v>0.930568155797026</x:v>
      </x:c>
      <x:c r="D43" s="4" t="n">
        <x:f>B6*C43</x:f>
        <x:v>1.395852233695539</x:v>
      </x:c>
      <x:c r="E43" s="4" t="n">
        <x:f>G6+F6*D43+0.5*E6*D43^2</x:f>
        <x:v>0.10428701031055125</x:v>
      </x:c>
      <x:c r="F43" s="4" t="n">
        <x:f>F6+E6*D43</x:f>
        <x:v>0.06857142857142857</x:v>
      </x:c>
      <x:c r="G43" s="4" t="n">
        <x:f>D6*C6*(Tinh_toan_x2!E14*Tinh_toan_x2!E17+F43)</x:f>
        <x:v>25268.43085714286</x:v>
      </x:c>
      <x:c r="H43" s="4" t="n">
        <x:f>G43*Tinh_toan_x2!E12/(2*Tinh_toan_x2!E15*Tinh_toan_x2!E13)+D6*(Tinh_toan_x2!C48+Tinh_toan_x2!E52+Tinh_toan_x2!E53/Tinh_toan_x2!E13^2)*2*Tinh_toan_x2!E13/Tinh_toan_x2!E12*F43</x:f>
        <x:v>35.04103125</x:v>
      </x:c>
      <x:c r="I43" s="4" t="n">
        <x:f>H43*D6*E43*2*Tinh_toan_x2!E13/Tinh_toan_x2!E12</x:f>
        <x:v>2923.4595098088794</x:v>
      </x:c>
      <x:c r="J43" s="4" t="n">
        <x:f>I43^2*B43</x:f>
        <x:v>2229736.209834205</x:v>
      </x:c>
      <x:c r="K43" s="4" t="n">
        <x:f>H43^2*B43</x:f>
        <x:v>320.3414064503339</x:v>
      </x:c>
      <x:c r="L43" s="4"/>
      <x:c r="M43" s="4"/>
      <x:c r="N43" s="4"/>
    </x:row>
    <x:row r="44" ht="32" customHeight="1">
      <x:c r="A44" s="3" t="str">
        <x:f>A7</x:f>
        <x:v>Có tải tăng j-</x:v>
      </x:c>
      <x:c r="B44" s="4" t="n">
        <x:f>B7*0.173927422568727</x:f>
        <x:v>0.04348185564218175</x:v>
      </x:c>
      <x:c r="C44" s="4" t="n">
        <x:v>0.0694318442029737</x:v>
      </x:c>
      <x:c r="D44" s="4" t="n">
        <x:f>B7*C44</x:f>
        <x:v>0.017357961050743425</x:v>
      </x:c>
      <x:c r="E44" s="4" t="n">
        <x:f>G7+F7*D44+0.5*E7*D44^2</x:f>
        <x:v>0.11257751063499878</x:v>
      </x:c>
      <x:c r="F44" s="4" t="n">
        <x:f>F7+E7*D44</x:f>
        <x:v>0.06381038782608181</x:v>
      </x:c>
      <x:c r="G44" s="4" t="n">
        <x:f>D7*C7*(Tinh_toan_x2!E14*Tinh_toan_x2!E17+F44)</x:f>
        <x:v>25209.184466107763</x:v>
      </x:c>
      <x:c r="H44" s="4" t="n">
        <x:f>G44*Tinh_toan_x2!E12/(2*Tinh_toan_x2!E15*Tinh_toan_x2!E13)+D7*(Tinh_toan_x2!C48+Tinh_toan_x2!E52+Tinh_toan_x2!E53/Tinh_toan_x2!E13^2)*2*Tinh_toan_x2!E13/Tinh_toan_x2!E12*F44</x:f>
        <x:v>34.815343040418234</x:v>
      </x:c>
      <x:c r="I44" s="4" t="n">
        <x:f>H44*D7*E44*2*Tinh_toan_x2!E13/Tinh_toan_x2!E12</x:f>
        <x:v>3135.5397211150516</x:v>
      </x:c>
      <x:c r="J44" s="4" t="n">
        <x:f>I44^2*B44</x:f>
        <x:v>427496.6181691831</x:v>
      </x:c>
      <x:c r="K44" s="4" t="n">
        <x:f>H44^2*B44</x:f>
        <x:v>52.70470990617615</x:v>
      </x:c>
      <x:c r="L44" s="4"/>
      <x:c r="M44" s="4"/>
      <x:c r="N44" s="4"/>
    </x:row>
    <x:row r="45" ht="32" customHeight="1">
      <x:c r="A45" s="3" t="str">
        <x:f>A7</x:f>
        <x:v>Có tải tăng j-</x:v>
      </x:c>
      <x:c r="B45" s="4" t="n">
        <x:f>B7*0.326072577431273</x:f>
        <x:v>0.08151814435781825</x:v>
      </x:c>
      <x:c r="C45" s="4" t="n">
        <x:v>0.330009478207572</x:v>
      </x:c>
      <x:c r="D45" s="4" t="n">
        <x:f>B7*C45</x:f>
        <x:v>0.082502369551893</x:v>
      </x:c>
      <x:c r="E45" s="4" t="n">
        <x:f>G7+F7*D45+0.5*E7*D45^2</x:f>
        <x:v>0.11615239457749982</x:v>
      </x:c>
      <x:c r="F45" s="4" t="n">
        <x:f>F7+E7*D45</x:f>
        <x:v>0.04594220720862364</x:v>
      </x:c>
      <x:c r="G45" s="4" t="n">
        <x:f>D7*C7*(Tinh_toan_x2!E14*Tinh_toan_x2!E17+F45)</x:f>
        <x:v>24986.832826504116</x:v>
      </x:c>
      <x:c r="H45" s="4" t="n">
        <x:f>G45*Tinh_toan_x2!E12/(2*Tinh_toan_x2!E15*Tinh_toan_x2!E13)+D7*(Tinh_toan_x2!C48+Tinh_toan_x2!E52+Tinh_toan_x2!E53/Tinh_toan_x2!E13^2)*2*Tinh_toan_x2!E13/Tinh_toan_x2!E12*F45</x:f>
        <x:v>33.96833544108629</x:v>
      </x:c>
      <x:c r="I45" s="4" t="n">
        <x:f>H45*D7*E45*2*Tinh_toan_x2!E13/Tinh_toan_x2!E12</x:f>
        <x:v>3156.402801035141</x:v>
      </x:c>
      <x:c r="J45" s="4" t="n">
        <x:f>I45^2*B45</x:f>
        <x:v>812155.3793891595</x:v>
      </x:c>
      <x:c r="K45" s="4" t="n">
        <x:f>H45^2*B45</x:f>
        <x:v>94.05953255759025</x:v>
      </x:c>
      <x:c r="L45" s="4"/>
      <x:c r="M45" s="4"/>
      <x:c r="N45" s="4"/>
    </x:row>
    <x:row r="46" ht="32" customHeight="1">
      <x:c r="A46" s="3" t="str">
        <x:f>A7</x:f>
        <x:v>Có tải tăng j-</x:v>
      </x:c>
      <x:c r="B46" s="4" t="n">
        <x:f>B7*0.326072577431273</x:f>
        <x:v>0.08151814435781825</x:v>
      </x:c>
      <x:c r="C46" s="4" t="n">
        <x:v>0.669990521792428</x:v>
      </x:c>
      <x:c r="D46" s="4" t="n">
        <x:f>B7*C46</x:f>
        <x:v>0.167497630448107</x:v>
      </x:c>
      <x:c r="E46" s="4" t="n">
        <x:f>G7+F7*D46+0.5*E7*D46^2</x:f>
        <x:v>0.11906651780822715</x:v>
      </x:c>
      <x:c r="F46" s="4" t="n">
        <x:f>F7+E7*D46</x:f>
        <x:v>0.022629221362804937</x:v>
      </x:c>
      <x:c r="G46" s="4" t="n">
        <x:f>D7*C7*(Tinh_toan_x2!E14*Tinh_toan_x2!E17+F46)</x:f>
        <x:v>24696.726030638747</x:v>
      </x:c>
      <x:c r="H46" s="4" t="n">
        <x:f>G46*Tinh_toan_x2!E12/(2*Tinh_toan_x2!E15*Tinh_toan_x2!E13)+D7*(Tinh_toan_x2!C48+Tinh_toan_x2!E52+Tinh_toan_x2!E53/Tinh_toan_x2!E13^2)*2*Tinh_toan_x2!E13/Tinh_toan_x2!E12*F46</x:f>
        <x:v>32.863227058913715</x:v>
      </x:c>
      <x:c r="I46" s="4" t="n">
        <x:f>H46*D7*E46*2*Tinh_toan_x2!E13/Tinh_toan_x2!E12</x:f>
        <x:v>3130.3280078767693</x:v>
      </x:c>
      <x:c r="J46" s="4" t="n">
        <x:f>I46^2*B46</x:f>
        <x:v>798792.5008245695</x:v>
      </x:c>
      <x:c r="K46" s="4" t="n">
        <x:f>H46^2*B46</x:f>
        <x:v>88.03891871285961</x:v>
      </x:c>
      <x:c r="L46" s="4"/>
      <x:c r="M46" s="4"/>
      <x:c r="N46" s="4"/>
    </x:row>
    <x:row r="47" ht="32" customHeight="1">
      <x:c r="A47" s="3" t="str">
        <x:f>A7</x:f>
        <x:v>Có tải tăng j-</x:v>
      </x:c>
      <x:c r="B47" s="4" t="n">
        <x:f>B7*0.173927422568727</x:f>
        <x:v>0.04348185564218175</x:v>
      </x:c>
      <x:c r="C47" s="4" t="n">
        <x:v>0.930568155797026</x:v>
      </x:c>
      <x:c r="D47" s="4" t="n">
        <x:f>B7*C47</x:f>
        <x:v>0.2326420389492565</x:v>
      </x:c>
      <x:c r="E47" s="4" t="n">
        <x:f>G7+F7*D47+0.5*E7*D47^2</x:f>
        <x:v>0.11995867902009065</x:v>
      </x:c>
      <x:c r="F47" s="4" t="n">
        <x:f>F7+E7*D47</x:f>
        <x:v>0.004761040745346792</x:v>
      </x:c>
      <x:c r="G47" s="4" t="n">
        <x:f>D7*C7*(Tinh_toan_x2!E14*Tinh_toan_x2!E17+F47)</x:f>
        <x:v>24474.3743910351</x:v>
      </x:c>
      <x:c r="H47" s="4" t="n">
        <x:f>G47*Tinh_toan_x2!E12/(2*Tinh_toan_x2!E15*Tinh_toan_x2!E13)+D7*(Tinh_toan_x2!C48+Tinh_toan_x2!E52+Tinh_toan_x2!E53/Tinh_toan_x2!E13^2)*2*Tinh_toan_x2!E13/Tinh_toan_x2!E12*F47</x:f>
        <x:v>32.01621945958178</x:v>
      </x:c>
      <x:c r="I47" s="4" t="n">
        <x:f>H47*D7*E47*2*Tinh_toan_x2!E13/Tinh_toan_x2!E12</x:f>
        <x:v>3072.498714871</x:v>
      </x:c>
      <x:c r="J47" s="4" t="n">
        <x:f>I47^2*B47</x:f>
        <x:v>410479.5161064439</x:v>
      </x:c>
      <x:c r="K47" s="4" t="n">
        <x:f>H47^2*B47</x:f>
        <x:v>44.570567757211926</x:v>
      </x:c>
      <x:c r="L47" s="4"/>
      <x:c r="M47" s="4"/>
      <x:c r="N47" s="4"/>
    </x:row>
    <x:row r="48" ht="32" customHeight="1">
      <x:c r="A48" s="3" t="str">
        <x:f>A8</x:f>
        <x:v>Có tải đều</x:v>
      </x:c>
      <x:c r="B48" s="4" t="n">
        <x:f>B8*0.173927422568727</x:f>
        <x:v>13.914193805498162</x:v>
      </x:c>
      <x:c r="C48" s="4" t="n">
        <x:v>0.0694318442029737</x:v>
      </x:c>
      <x:c r="D48" s="4" t="n">
        <x:f>B8*C48</x:f>
        <x:v>5.554547536237896</x:v>
      </x:c>
      <x:c r="E48" s="4" t="n">
        <x:f>G8+F8*D48+0.5*E8*D48^2</x:f>
        <x:v>0.12000000000000001</x:v>
      </x:c>
      <x:c r="F48" s="4" t="n">
        <x:f>F8+E8*D48</x:f>
        <x:v>0</x:v>
      </x:c>
      <x:c r="G48" s="4" t="n">
        <x:f>D8*C8*(Tinh_toan_x2!E14*Tinh_toan_x2!E17+F48)</x:f>
        <x:v>24415.128</x:v>
      </x:c>
      <x:c r="H48" s="4" t="n">
        <x:f>G48*Tinh_toan_x2!E12/(2*Tinh_toan_x2!E15*Tinh_toan_x2!E13)+D8*(Tinh_toan_x2!C48+Tinh_toan_x2!E52+Tinh_toan_x2!E53/Tinh_toan_x2!E13^2)*2*Tinh_toan_x2!E13/Tinh_toan_x2!E12*F48</x:f>
        <x:v>31.79053125</x:v>
      </x:c>
      <x:c r="I48" s="4" t="n">
        <x:f>H48*D8*E48*2*Tinh_toan_x2!E13/Tinh_toan_x2!E12</x:f>
        <x:v>3051.891</x:v>
      </x:c>
      <x:c r="J48" s="4" t="n">
        <x:f>I48^2*B48</x:f>
        <x:v>129597339.2481137</x:v>
      </x:c>
      <x:c r="K48" s="4" t="n">
        <x:f>H48^2*B48</x:f>
        <x:v>14062.211289942894</x:v>
      </x:c>
      <x:c r="L48" s="4"/>
      <x:c r="M48" s="4"/>
      <x:c r="N48" s="4"/>
    </x:row>
    <x:row r="49" ht="32" customHeight="1">
      <x:c r="A49" s="3" t="str">
        <x:f>A8</x:f>
        <x:v>Có tải đều</x:v>
      </x:c>
      <x:c r="B49" s="4" t="n">
        <x:f>B8*0.326072577431273</x:f>
        <x:v>26.08580619450184</x:v>
      </x:c>
      <x:c r="C49" s="4" t="n">
        <x:v>0.330009478207572</x:v>
      </x:c>
      <x:c r="D49" s="4" t="n">
        <x:f>B8*C49</x:f>
        <x:v>26.40075825660576</x:v>
      </x:c>
      <x:c r="E49" s="4" t="n">
        <x:f>G8+F8*D49+0.5*E8*D49^2</x:f>
        <x:v>0.12000000000000001</x:v>
      </x:c>
      <x:c r="F49" s="4" t="n">
        <x:f>F8+E8*D49</x:f>
        <x:v>0</x:v>
      </x:c>
      <x:c r="G49" s="4" t="n">
        <x:f>D8*C8*(Tinh_toan_x2!E14*Tinh_toan_x2!E17+F49)</x:f>
        <x:v>24415.128</x:v>
      </x:c>
      <x:c r="H49" s="4" t="n">
        <x:f>G49*Tinh_toan_x2!E12/(2*Tinh_toan_x2!E15*Tinh_toan_x2!E13)+D8*(Tinh_toan_x2!C48+Tinh_toan_x2!E52+Tinh_toan_x2!E53/Tinh_toan_x2!E13^2)*2*Tinh_toan_x2!E13/Tinh_toan_x2!E12*F49</x:f>
        <x:v>31.79053125</x:v>
      </x:c>
      <x:c r="I49" s="4" t="n">
        <x:f>H49*D8*E49*2*Tinh_toan_x2!E13/Tinh_toan_x2!E12</x:f>
        <x:v>3051.891</x:v>
      </x:c>
      <x:c r="J49" s="4" t="n">
        <x:f>I49^2*B49</x:f>
        <x:v>242964207.7871263</x:v>
      </x:c>
      <x:c r="K49" s="4" t="n">
        <x:f>H49^2*B49</x:f>
        <x:v>26363.303796346172</x:v>
      </x:c>
      <x:c r="L49" s="4"/>
      <x:c r="M49" s="4"/>
      <x:c r="N49" s="4"/>
    </x:row>
    <x:row r="50" ht="32" customHeight="1">
      <x:c r="A50" s="3" t="str">
        <x:f>A8</x:f>
        <x:v>Có tải đều</x:v>
      </x:c>
      <x:c r="B50" s="4" t="n">
        <x:f>B8*0.326072577431273</x:f>
        <x:v>26.08580619450184</x:v>
      </x:c>
      <x:c r="C50" s="4" t="n">
        <x:v>0.669990521792428</x:v>
      </x:c>
      <x:c r="D50" s="4" t="n">
        <x:f>B8*C50</x:f>
        <x:v>53.599241743394245</x:v>
      </x:c>
      <x:c r="E50" s="4" t="n">
        <x:f>G8+F8*D50+0.5*E8*D50^2</x:f>
        <x:v>0.12000000000000001</x:v>
      </x:c>
      <x:c r="F50" s="4" t="n">
        <x:f>F8+E8*D50</x:f>
        <x:v>0</x:v>
      </x:c>
      <x:c r="G50" s="4" t="n">
        <x:f>D8*C8*(Tinh_toan_x2!E14*Tinh_toan_x2!E17+F50)</x:f>
        <x:v>24415.128</x:v>
      </x:c>
      <x:c r="H50" s="4" t="n">
        <x:f>G50*Tinh_toan_x2!E12/(2*Tinh_toan_x2!E15*Tinh_toan_x2!E13)+D8*(Tinh_toan_x2!C48+Tinh_toan_x2!E52+Tinh_toan_x2!E53/Tinh_toan_x2!E13^2)*2*Tinh_toan_x2!E13/Tinh_toan_x2!E12*F50</x:f>
        <x:v>31.79053125</x:v>
      </x:c>
      <x:c r="I50" s="4" t="n">
        <x:f>H50*D8*E50*2*Tinh_toan_x2!E13/Tinh_toan_x2!E12</x:f>
        <x:v>3051.891</x:v>
      </x:c>
      <x:c r="J50" s="4" t="n">
        <x:f>I50^2*B50</x:f>
        <x:v>242964207.7871263</x:v>
      </x:c>
      <x:c r="K50" s="4" t="n">
        <x:f>H50^2*B50</x:f>
        <x:v>26363.303796346172</x:v>
      </x:c>
      <x:c r="L50" s="4"/>
      <x:c r="M50" s="4"/>
      <x:c r="N50" s="4"/>
    </x:row>
    <x:row r="51" ht="32" customHeight="1">
      <x:c r="A51" s="3" t="str">
        <x:f>A8</x:f>
        <x:v>Có tải đều</x:v>
      </x:c>
      <x:c r="B51" s="4" t="n">
        <x:f>B8*0.173927422568727</x:f>
        <x:v>13.914193805498162</x:v>
      </x:c>
      <x:c r="C51" s="4" t="n">
        <x:v>0.930568155797026</x:v>
      </x:c>
      <x:c r="D51" s="4" t="n">
        <x:f>B8*C51</x:f>
        <x:v>74.44545246376208</x:v>
      </x:c>
      <x:c r="E51" s="4" t="n">
        <x:f>G8+F8*D51+0.5*E8*D51^2</x:f>
        <x:v>0.12000000000000001</x:v>
      </x:c>
      <x:c r="F51" s="4" t="n">
        <x:f>F8+E8*D51</x:f>
        <x:v>0</x:v>
      </x:c>
      <x:c r="G51" s="4" t="n">
        <x:f>D8*C8*(Tinh_toan_x2!E14*Tinh_toan_x2!E17+F51)</x:f>
        <x:v>24415.128</x:v>
      </x:c>
      <x:c r="H51" s="4" t="n">
        <x:f>G51*Tinh_toan_x2!E12/(2*Tinh_toan_x2!E15*Tinh_toan_x2!E13)+D8*(Tinh_toan_x2!C48+Tinh_toan_x2!E52+Tinh_toan_x2!E53/Tinh_toan_x2!E13^2)*2*Tinh_toan_x2!E13/Tinh_toan_x2!E12*F51</x:f>
        <x:v>31.79053125</x:v>
      </x:c>
      <x:c r="I51" s="4" t="n">
        <x:f>H51*D8*E51*2*Tinh_toan_x2!E13/Tinh_toan_x2!E12</x:f>
        <x:v>3051.891</x:v>
      </x:c>
      <x:c r="J51" s="4" t="n">
        <x:f>I51^2*B51</x:f>
        <x:v>129597339.2481137</x:v>
      </x:c>
      <x:c r="K51" s="4" t="n">
        <x:f>H51^2*B51</x:f>
        <x:v>14062.211289942894</x:v>
      </x:c>
      <x:c r="L51" s="4"/>
      <x:c r="M51" s="4"/>
      <x:c r="N51" s="4"/>
    </x:row>
    <x:row r="52" ht="32" customHeight="1">
      <x:c r="A52" s="3" t="str">
        <x:f>A9</x:f>
        <x:v>Có tải giảm j-</x:v>
      </x:c>
      <x:c r="B52" s="4" t="n">
        <x:f>B9*0.173927422568727</x:f>
        <x:v>0.04348185564218175</x:v>
      </x:c>
      <x:c r="C52" s="4" t="n">
        <x:v>0.0694318442029737</x:v>
      </x:c>
      <x:c r="D52" s="4" t="n">
        <x:f>B9*C52</x:f>
        <x:v>0.017357961050743425</x:v>
      </x:c>
      <x:c r="E52" s="4" t="n">
        <x:f>G9+F9*D52+0.5*E9*D52^2</x:f>
        <x:v>0.11999258341386243</x:v>
      </x:c>
      <x:c r="F52" s="4" t="n">
        <x:f>F9+E9*D52</x:f>
        <x:v>-0.0008545457748058302</x:v>
      </x:c>
      <x:c r="G52" s="4" t="n">
        <x:f>D9*C9*(Tinh_toan_x2!E14*Tinh_toan_x2!E17+F52)</x:f>
        <x:v>24404.494032378316</x:v>
      </x:c>
      <x:c r="H52" s="4" t="n">
        <x:f>G52*Tinh_toan_x2!E12/(2*Tinh_toan_x2!E15*Tinh_toan_x2!E13)+D9*(Tinh_toan_x2!C48+Tinh_toan_x2!E52+Tinh_toan_x2!E53/Tinh_toan_x2!E13^2)*2*Tinh_toan_x2!E13/Tinh_toan_x2!E12*F52</x:f>
        <x:v>31.750023109818656</x:v>
      </x:c>
      <x:c r="I52" s="4" t="n">
        <x:f>H52*D9*E52*2*Tinh_toan_x2!E13/Tinh_toan_x2!E12</x:f>
        <x:v>3047.81383711758</x:v>
      </x:c>
      <x:c r="J52" s="4" t="n">
        <x:f>I52^2*B52</x:f>
        <x:v>403910.3135695143</x:v>
      </x:c>
      <x:c r="K52" s="4" t="n">
        <x:f>H52^2*B52</x:f>
        <x:v>43.83249191179028</x:v>
      </x:c>
      <x:c r="L52" s="4"/>
      <x:c r="M52" s="4"/>
      <x:c r="N52" s="4"/>
    </x:row>
    <x:row r="53" ht="32" customHeight="1">
      <x:c r="A53" s="3" t="str">
        <x:f>A9</x:f>
        <x:v>Có tải giảm j-</x:v>
      </x:c>
      <x:c r="B53" s="4" t="n">
        <x:f>B9*0.326072577431273</x:f>
        <x:v>0.08151814435781825</x:v>
      </x:c>
      <x:c r="C53" s="4" t="n">
        <x:v>0.330009478207572</x:v>
      </x:c>
      <x:c r="D53" s="4" t="n">
        <x:f>B9*C53</x:f>
        <x:v>0.082502369551893</x:v>
      </x:c>
      <x:c r="E53" s="4" t="n">
        <x:f>G9+F9*D53+0.5*E9*D53^2</x:f>
        <x:v>0.11983245191429719</x:v>
      </x:c>
      <x:c r="F53" s="4" t="n">
        <x:f>F9+E9*D53</x:f>
        <x:v>-0.004061655116400886</x:v>
      </x:c>
      <x:c r="G53" s="4" t="n">
        <x:f>D9*C9*(Tinh_toan_x2!E14*Tinh_toan_x2!E17+F53)</x:f>
        <x:v>24364.584763731513</x:v>
      </x:c>
      <x:c r="H53" s="4" t="n">
        <x:f>G53*Tinh_toan_x2!E12/(2*Tinh_toan_x2!E15*Tinh_toan_x2!E13)+D9*(Tinh_toan_x2!C48+Tinh_toan_x2!E52+Tinh_toan_x2!E53/Tinh_toan_x2!E13^2)*2*Tinh_toan_x2!E13/Tinh_toan_x2!E12*F53</x:f>
        <x:v>31.597996104810367</x:v>
      </x:c>
      <x:c r="I53" s="4" t="n">
        <x:f>H53*D9*E53*2*Tinh_toan_x2!E13/Tinh_toan_x2!E12</x:f>
        <x:v>3029.1722790542703</x:v>
      </x:c>
      <x:c r="J53" s="4" t="n">
        <x:f>I53^2*B53</x:f>
        <x:v>748001.0932747802</x:v>
      </x:c>
      <x:c r="K53" s="4" t="n">
        <x:f>H53^2*B53</x:f>
        <x:v>81.39043459603062</x:v>
      </x:c>
      <x:c r="L53" s="4"/>
      <x:c r="M53" s="4"/>
      <x:c r="N53" s="4"/>
    </x:row>
    <x:row r="54" ht="32" customHeight="1">
      <x:c r="A54" s="3" t="str">
        <x:f>A9</x:f>
        <x:v>Có tải giảm j-</x:v>
      </x:c>
      <x:c r="B54" s="4" t="n">
        <x:f>B9*0.326072577431273</x:f>
        <x:v>0.08151814435781825</x:v>
      </x:c>
      <x:c r="C54" s="4" t="n">
        <x:v>0.669990521792428</x:v>
      </x:c>
      <x:c r="D54" s="4" t="n">
        <x:f>B9*C54</x:f>
        <x:v>0.167497630448107</x:v>
      </x:c>
      <x:c r="E54" s="4" t="n">
        <x:f>G9+F9*D54+0.5*E9*D54^2</x:f>
        <x:v>0.11930940415493588</x:v>
      </x:c>
      <x:c r="F54" s="4" t="n">
        <x:f>F9+E9*D54</x:f>
        <x:v>-0.008246037191291423</x:v>
      </x:c>
      <x:c r="G54" s="4" t="n">
        <x:f>D9*C9*(Tinh_toan_x2!E14*Tinh_toan_x2!E17+F54)</x:f>
        <x:v>24312.514313191572</x:v>
      </x:c>
      <x:c r="H54" s="4" t="n">
        <x:f>G54*Tinh_toan_x2!E12/(2*Tinh_toan_x2!E15*Tinh_toan_x2!E13)+D9*(Tinh_toan_x2!C48+Tinh_toan_x2!E52+Tinh_toan_x2!E53/Tinh_toan_x2!E13^2)*2*Tinh_toan_x2!E13/Tinh_toan_x2!E12*F54</x:f>
        <x:v>31.39964331826657</x:v>
      </x:c>
      <x:c r="I54" s="4" t="n">
        <x:f>H54*D9*E54*2*Tinh_toan_x2!E13/Tinh_toan_x2!E12</x:f>
        <x:v>2997.0181879839183</x:v>
      </x:c>
      <x:c r="J54" s="4" t="n">
        <x:f>I54^2*B54</x:f>
        <x:v>732205.5933204767</x:v>
      </x:c>
      <x:c r="K54" s="4" t="n">
        <x:f>H54^2*B54</x:f>
        <x:v>80.37180364653074</x:v>
      </x:c>
      <x:c r="L54" s="4"/>
      <x:c r="M54" s="4"/>
      <x:c r="N54" s="4"/>
    </x:row>
    <x:row r="55" ht="32" customHeight="1">
      <x:c r="A55" s="3" t="str">
        <x:f>A9</x:f>
        <x:v>Có tải giảm j-</x:v>
      </x:c>
      <x:c r="B55" s="4" t="n">
        <x:f>B9*0.173927422568727</x:f>
        <x:v>0.04348185564218175</x:v>
      </x:c>
      <x:c r="C55" s="4" t="n">
        <x:v>0.930568155797026</x:v>
      </x:c>
      <x:c r="D55" s="4" t="n">
        <x:f>B9*C55</x:f>
        <x:v>0.2326420389492565</x:v>
      </x:c>
      <x:c r="E55" s="4" t="n">
        <x:f>G9+F9*D55+0.5*E9*D55^2</x:f>
        <x:v>0.11866775831910235</x:v>
      </x:c>
      <x:c r="F55" s="4" t="n">
        <x:f>F9+E9*D55</x:f>
        <x:v>-0.011453146532886475</x:v>
      </x:c>
      <x:c r="G55" s="4" t="n">
        <x:f>D9*C9*(Tinh_toan_x2!E14*Tinh_toan_x2!E17+F55)</x:f>
        <x:v>24272.605044544765</x:v>
      </x:c>
      <x:c r="H55" s="4" t="n">
        <x:f>G55*Tinh_toan_x2!E12/(2*Tinh_toan_x2!E15*Tinh_toan_x2!E13)+D9*(Tinh_toan_x2!C48+Tinh_toan_x2!E52+Tinh_toan_x2!E53/Tinh_toan_x2!E13^2)*2*Tinh_toan_x2!E13/Tinh_toan_x2!E12*F55</x:f>
        <x:v>31.247616313258273</x:v>
      </x:c>
      <x:c r="I55" s="4" t="n">
        <x:f>H55*D9*E55*2*Tinh_toan_x2!E13/Tinh_toan_x2!E12</x:f>
        <x:v>2966.4676645678182</x:v>
      </x:c>
      <x:c r="J55" s="4" t="n">
        <x:f>I55^2*B55</x:f>
        <x:v>382637.3035282577</x:v>
      </x:c>
      <x:c r="K55" s="4" t="n">
        <x:f>H55^2*B55</x:f>
        <x:v>42.456271952455396</x:v>
      </x:c>
      <x:c r="L55" s="4"/>
      <x:c r="M55" s="4"/>
      <x:c r="N55" s="4"/>
    </x:row>
    <x:row r="56" ht="32" customHeight="1">
      <x:c r="A56" s="3" t="str">
        <x:f>A10</x:f>
        <x:v>Có tải giảm a</x:v>
      </x:c>
      <x:c r="B56" s="4" t="n">
        <x:f>B10*0.173927422568727</x:f>
        <x:v>1.6523105144029067</x:v>
      </x:c>
      <x:c r="C56" s="4" t="n">
        <x:v>0.0694318442029737</x:v>
      </x:c>
      <x:c r="D56" s="4" t="n">
        <x:f>B10*C56</x:f>
        <x:v>0.6596025199282501</x:v>
      </x:c>
      <x:c r="E56" s="4" t="n">
        <x:f>G10+F10*D56+0.5*E10*D56^2</x:f>
        <x:v>0.11034335360088307</x:v>
      </x:c>
      <x:c r="F56" s="4" t="n">
        <x:f>F10+E10*D56</x:f>
        <x:v>-0.01230769230769231</x:v>
      </x:c>
      <x:c r="G56" s="4" t="n">
        <x:f>D10*C10*(Tinh_toan_x2!E14*Tinh_toan_x2!E17+F56)</x:f>
        <x:v>24261.971076923077</x:v>
      </x:c>
      <x:c r="H56" s="4" t="n">
        <x:f>G56*Tinh_toan_x2!E12/(2*Tinh_toan_x2!E15*Tinh_toan_x2!E13)+D10*(Tinh_toan_x2!C48+Tinh_toan_x2!E52+Tinh_toan_x2!E53/Tinh_toan_x2!E13^2)*2*Tinh_toan_x2!E13/Tinh_toan_x2!E12*F56</x:f>
        <x:v>31.20710817307692</x:v>
      </x:c>
      <x:c r="I56" s="4" t="n">
        <x:f>H56*D10*E56*2*Tinh_toan_x2!E13/Tinh_toan_x2!E12</x:f>
        <x:v>2754.7975776022677</x:v>
      </x:c>
      <x:c r="J56" s="4" t="n">
        <x:f>I56^2*B56</x:f>
        <x:v>12539235.279528817</x:v>
      </x:c>
      <x:c r="K56" s="4" t="n">
        <x:f>H56^2*B56</x:f>
        <x:v>1609.1581129538754</x:v>
      </x:c>
      <x:c r="L56" s="4"/>
      <x:c r="M56" s="4"/>
      <x:c r="N56" s="4"/>
    </x:row>
    <x:row r="57" ht="32" customHeight="1">
      <x:c r="A57" s="3" t="str">
        <x:f>A10</x:f>
        <x:v>Có tải giảm a</x:v>
      </x:c>
      <x:c r="B57" s="4" t="n">
        <x:f>B10*0.326072577431273</x:f>
        <x:v>3.0976894855970936</x:v>
      </x:c>
      <x:c r="C57" s="4" t="n">
        <x:v>0.330009478207572</x:v>
      </x:c>
      <x:c r="D57" s="4" t="n">
        <x:f>B10*C57</x:f>
        <x:v>3.135090042971934</x:v>
      </x:c>
      <x:c r="E57" s="4" t="n">
        <x:f>G10+F10*D57+0.5*E10*D57^2</x:f>
        <x:v>0.07987581485573003</x:v>
      </x:c>
      <x:c r="F57" s="4" t="n">
        <x:f>F10+E10*D57</x:f>
        <x:v>-0.01230769230769231</x:v>
      </x:c>
      <x:c r="G57" s="4" t="n">
        <x:f>D10*C10*(Tinh_toan_x2!E14*Tinh_toan_x2!E17+F57)</x:f>
        <x:v>24261.971076923077</x:v>
      </x:c>
      <x:c r="H57" s="4" t="n">
        <x:f>G57*Tinh_toan_x2!E12/(2*Tinh_toan_x2!E15*Tinh_toan_x2!E13)+D10*(Tinh_toan_x2!C48+Tinh_toan_x2!E52+Tinh_toan_x2!E53/Tinh_toan_x2!E13^2)*2*Tinh_toan_x2!E13/Tinh_toan_x2!E12*F57</x:f>
        <x:v>31.20710817307692</x:v>
      </x:c>
      <x:c r="I57" s="4" t="n">
        <x:f>H57*D10*E57*2*Tinh_toan_x2!E13/Tinh_toan_x2!E12</x:f>
        <x:v>1994.1545556923454</x:v>
      </x:c>
      <x:c r="J57" s="4" t="n">
        <x:f>I57^2*B57</x:f>
        <x:v>12318434.302537417</x:v>
      </x:c>
      <x:c r="K57" s="4" t="n">
        <x:f>H57^2*B57</x:f>
        <x:v>3016.7889895452154</x:v>
      </x:c>
      <x:c r="L57" s="4"/>
      <x:c r="M57" s="4"/>
      <x:c r="N57" s="4"/>
    </x:row>
    <x:row r="58" ht="32" customHeight="1">
      <x:c r="A58" s="3" t="str">
        <x:f>A10</x:f>
        <x:v>Có tải giảm a</x:v>
      </x:c>
      <x:c r="B58" s="4" t="n">
        <x:f>B10*0.326072577431273</x:f>
        <x:v>3.0976894855970936</x:v>
      </x:c>
      <x:c r="C58" s="4" t="n">
        <x:v>0.669990521792428</x:v>
      </x:c>
      <x:c r="D58" s="4" t="n">
        <x:f>B10*C58</x:f>
        <x:v>6.3649099570280665</x:v>
      </x:c>
      <x:c r="E58" s="4" t="n">
        <x:f>G10+F10*D58+0.5*E10*D58^2</x:f>
        <x:v>0.04012418514426995</x:v>
      </x:c>
      <x:c r="F58" s="4" t="n">
        <x:f>F10+E10*D58</x:f>
        <x:v>-0.01230769230769231</x:v>
      </x:c>
      <x:c r="G58" s="4" t="n">
        <x:f>D10*C10*(Tinh_toan_x2!E14*Tinh_toan_x2!E17+F58)</x:f>
        <x:v>24261.971076923077</x:v>
      </x:c>
      <x:c r="H58" s="4" t="n">
        <x:f>G58*Tinh_toan_x2!E12/(2*Tinh_toan_x2!E15*Tinh_toan_x2!E13)+D10*(Tinh_toan_x2!C48+Tinh_toan_x2!E52+Tinh_toan_x2!E53/Tinh_toan_x2!E13^2)*2*Tinh_toan_x2!E13/Tinh_toan_x2!E12*F58</x:f>
        <x:v>31.20710817307692</x:v>
      </x:c>
      <x:c r="I58" s="4" t="n">
        <x:f>H58*D10*E58*2*Tinh_toan_x2!E13/Tinh_toan_x2!E12</x:f>
        <x:v>1001.7278289230386</x:v>
      </x:c>
      <x:c r="J58" s="4" t="n">
        <x:f>I58^2*B58</x:f>
        <x:v>3108403.2883925554</x:v>
      </x:c>
      <x:c r="K58" s="4" t="n">
        <x:f>H58^2*B58</x:f>
        <x:v>3016.7889895452154</x:v>
      </x:c>
      <x:c r="L58" s="4"/>
      <x:c r="M58" s="4"/>
      <x:c r="N58" s="4"/>
    </x:row>
    <x:row r="59" ht="32" customHeight="1">
      <x:c r="A59" s="3" t="str">
        <x:f>A10</x:f>
        <x:v>Có tải giảm a</x:v>
      </x:c>
      <x:c r="B59" s="4" t="n">
        <x:f>B10*0.173927422568727</x:f>
        <x:v>1.6523105144029067</x:v>
      </x:c>
      <x:c r="C59" s="4" t="n">
        <x:v>0.930568155797026</x:v>
      </x:c>
      <x:c r="D59" s="4" t="n">
        <x:f>B10*C59</x:f>
        <x:v>8.840397480071747</x:v>
      </x:c>
      <x:c r="E59" s="4" t="n">
        <x:f>G10+F10*D59+0.5*E10*D59^2</x:f>
        <x:v>0.009656646399116953</x:v>
      </x:c>
      <x:c r="F59" s="4" t="n">
        <x:f>F10+E10*D59</x:f>
        <x:v>-0.01230769230769231</x:v>
      </x:c>
      <x:c r="G59" s="4" t="n">
        <x:f>D10*C10*(Tinh_toan_x2!E14*Tinh_toan_x2!E17+F59)</x:f>
        <x:v>24261.971076923077</x:v>
      </x:c>
      <x:c r="H59" s="4" t="n">
        <x:f>G59*Tinh_toan_x2!E12/(2*Tinh_toan_x2!E15*Tinh_toan_x2!E13)+D10*(Tinh_toan_x2!C48+Tinh_toan_x2!E52+Tinh_toan_x2!E53/Tinh_toan_x2!E13^2)*2*Tinh_toan_x2!E13/Tinh_toan_x2!E12*F59</x:f>
        <x:v>31.20710817307692</x:v>
      </x:c>
      <x:c r="I59" s="4" t="n">
        <x:f>H59*D10*E59*2*Tinh_toan_x2!E13/Tinh_toan_x2!E12</x:f>
        <x:v>241.08480701311717</x:v>
      </x:c>
      <x:c r="J59" s="4" t="n">
        <x:f>I59^2*B59</x:f>
        <x:v>96035.40033521547</x:v>
      </x:c>
      <x:c r="K59" s="4" t="n">
        <x:f>H59^2*B59</x:f>
        <x:v>1609.1581129538754</x:v>
      </x:c>
      <x:c r="L59" s="4"/>
      <x:c r="M59" s="4"/>
      <x:c r="N59" s="4"/>
    </x:row>
    <x:row r="60" ht="32" customHeight="1">
      <x:c r="A60" s="3" t="str">
        <x:f>A11</x:f>
        <x:v>Có tải giảm j+</x:v>
      </x:c>
      <x:c r="B60" s="4" t="n">
        <x:f>B11*0.173927422568727</x:f>
        <x:v>0.04348185564218175</x:v>
      </x:c>
      <x:c r="C60" s="4" t="n">
        <x:v>0.0694318442029737</x:v>
      </x:c>
      <x:c r="D60" s="4" t="n">
        <x:f>B11*C60</x:f>
        <x:v>0.017357961050743425</x:v>
      </x:c>
      <x:c r="E60" s="4" t="n">
        <x:f>G11+F11*D60+0.5*E11*D60^2</x:f>
        <x:v>0.001332241680897651</x:v>
      </x:c>
      <x:c r="F60" s="4" t="n">
        <x:f>F11+E11*D60</x:f>
        <x:v>-0.011453146532886479</x:v>
      </x:c>
      <x:c r="G60" s="4" t="n">
        <x:f>D11*C11*(Tinh_toan_x2!E14*Tinh_toan_x2!E17+F60)</x:f>
        <x:v>24272.605044544765</x:v>
      </x:c>
      <x:c r="H60" s="4" t="n">
        <x:f>G60*Tinh_toan_x2!E12/(2*Tinh_toan_x2!E15*Tinh_toan_x2!E13)+D11*(Tinh_toan_x2!C48+Tinh_toan_x2!E52+Tinh_toan_x2!E53/Tinh_toan_x2!E13^2)*2*Tinh_toan_x2!E13/Tinh_toan_x2!E12*F60</x:f>
        <x:v>31.247616313258273</x:v>
      </x:c>
      <x:c r="I60" s="4" t="n">
        <x:f>H60*D11*E60*2*Tinh_toan_x2!E13/Tinh_toan_x2!E12</x:f>
        <x:v>33.303501504976055</x:v>
      </x:c>
      <x:c r="J60" s="4" t="n">
        <x:f>I60^2*B60</x:f>
        <x:v>48.22673541496751</x:v>
      </x:c>
      <x:c r="K60" s="4" t="n">
        <x:f>H60^2*B60</x:f>
        <x:v>42.456271952455396</x:v>
      </x:c>
      <x:c r="L60" s="4"/>
      <x:c r="M60" s="4"/>
      <x:c r="N60" s="4"/>
    </x:row>
    <x:row r="61" ht="32" customHeight="1">
      <x:c r="A61" s="3" t="str">
        <x:f>A11</x:f>
        <x:v>Có tải giảm j+</x:v>
      </x:c>
      <x:c r="B61" s="4" t="n">
        <x:f>B11*0.326072577431273</x:f>
        <x:v>0.08151814435781825</x:v>
      </x:c>
      <x:c r="C61" s="4" t="n">
        <x:v>0.330009478207572</x:v>
      </x:c>
      <x:c r="D61" s="4" t="n">
        <x:f>B11*C61</x:f>
        <x:v>0.082502369551893</x:v>
      </x:c>
      <x:c r="E61" s="4" t="n">
        <x:f>G11+F11*D61+0.5*E11*D61^2</x:f>
        <x:v>0.0006905958450641301</x:v>
      </x:c>
      <x:c r="F61" s="4" t="n">
        <x:f>F11+E11*D61</x:f>
        <x:v>-0.008246037191291423</x:v>
      </x:c>
      <x:c r="G61" s="4" t="n">
        <x:f>D11*C11*(Tinh_toan_x2!E14*Tinh_toan_x2!E17+F61)</x:f>
        <x:v>24312.514313191572</x:v>
      </x:c>
      <x:c r="H61" s="4" t="n">
        <x:f>G61*Tinh_toan_x2!E12/(2*Tinh_toan_x2!E15*Tinh_toan_x2!E13)+D11*(Tinh_toan_x2!C48+Tinh_toan_x2!E52+Tinh_toan_x2!E53/Tinh_toan_x2!E13^2)*2*Tinh_toan_x2!E13/Tinh_toan_x2!E12*F61</x:f>
        <x:v>31.39964331826657</x:v>
      </x:c>
      <x:c r="I61" s="4" t="n">
        <x:f>H61*D11*E61*2*Tinh_toan_x2!E13/Tinh_toan_x2!E12</x:f>
        <x:v>17.347570569672456</x:v>
      </x:c>
      <x:c r="J61" s="4" t="n">
        <x:f>I61^2*B61</x:f>
        <x:v>24.53192401105263</x:v>
      </x:c>
      <x:c r="K61" s="4" t="n">
        <x:f>H61^2*B61</x:f>
        <x:v>80.37180364653074</x:v>
      </x:c>
      <x:c r="L61" s="4"/>
      <x:c r="M61" s="4"/>
      <x:c r="N61" s="4"/>
    </x:row>
    <x:row r="62" ht="32" customHeight="1">
      <x:c r="A62" s="3" t="str">
        <x:f>A11</x:f>
        <x:v>Có tải giảm j+</x:v>
      </x:c>
      <x:c r="B62" s="4" t="n">
        <x:f>B11*0.326072577431273</x:f>
        <x:v>0.08151814435781825</x:v>
      </x:c>
      <x:c r="C62" s="4" t="n">
        <x:v>0.669990521792428</x:v>
      </x:c>
      <x:c r="D62" s="4" t="n">
        <x:f>B11*C62</x:f>
        <x:v>0.167497630448107</x:v>
      </x:c>
      <x:c r="E62" s="4" t="n">
        <x:f>G11+F11*D62+0.5*E11*D62^2</x:f>
        <x:v>0.0001675480857028129</x:v>
      </x:c>
      <x:c r="F62" s="4" t="n">
        <x:f>F11+E11*D62</x:f>
        <x:v>-0.004061655116400886</x:v>
      </x:c>
      <x:c r="G62" s="4" t="n">
        <x:f>D11*C11*(Tinh_toan_x2!E14*Tinh_toan_x2!E17+F62)</x:f>
        <x:v>24364.584763731513</x:v>
      </x:c>
      <x:c r="H62" s="4" t="n">
        <x:f>G62*Tinh_toan_x2!E12/(2*Tinh_toan_x2!E15*Tinh_toan_x2!E13)+D11*(Tinh_toan_x2!C48+Tinh_toan_x2!E52+Tinh_toan_x2!E53/Tinh_toan_x2!E13^2)*2*Tinh_toan_x2!E13/Tinh_toan_x2!E12*F62</x:f>
        <x:v>31.597996104810367</x:v>
      </x:c>
      <x:c r="I62" s="4" t="n">
        <x:f>H62*D11*E62*2*Tinh_toan_x2!E13/Tinh_toan_x2!E12</x:f>
        <x:v>4.235347007524733</x:v>
      </x:c>
      <x:c r="J62" s="4" t="n">
        <x:f>I62^2*B62</x:f>
        <x:v>1.4622858648143124</x:v>
      </x:c>
      <x:c r="K62" s="4" t="n">
        <x:f>H62^2*B62</x:f>
        <x:v>81.39043459603062</x:v>
      </x:c>
      <x:c r="L62" s="4"/>
      <x:c r="M62" s="4"/>
      <x:c r="N62" s="4"/>
    </x:row>
    <x:row r="63" ht="32" customHeight="1">
      <x:c r="A63" s="3" t="str">
        <x:f>A11</x:f>
        <x:v>Có tải giảm j+</x:v>
      </x:c>
      <x:c r="B63" s="4" t="n">
        <x:f>B11*0.173927422568727</x:f>
        <x:v>0.04348185564218175</x:v>
      </x:c>
      <x:c r="C63" s="4" t="n">
        <x:v>0.930568155797026</x:v>
      </x:c>
      <x:c r="D63" s="4" t="n">
        <x:f>B11*C63</x:f>
        <x:v>0.2326420389492565</x:v>
      </x:c>
      <x:c r="E63" s="4" t="n">
        <x:f>G11+F11*D63+0.5*E11*D63^2</x:f>
        <x:v>0.000007416586137570227</x:v>
      </x:c>
      <x:c r="F63" s="4" t="n">
        <x:f>F11+E11*D63</x:f>
        <x:v>-0.000854545774805834</x:v>
      </x:c>
      <x:c r="G63" s="4" t="n">
        <x:f>D11*C11*(Tinh_toan_x2!E14*Tinh_toan_x2!E17+F63)</x:f>
        <x:v>24404.494032378316</x:v>
      </x:c>
      <x:c r="H63" s="4" t="n">
        <x:f>G63*Tinh_toan_x2!E12/(2*Tinh_toan_x2!E15*Tinh_toan_x2!E13)+D11*(Tinh_toan_x2!C48+Tinh_toan_x2!E52+Tinh_toan_x2!E53/Tinh_toan_x2!E13^2)*2*Tinh_toan_x2!E13/Tinh_toan_x2!E12*F63</x:f>
        <x:v>31.750023109818656</x:v>
      </x:c>
      <x:c r="I63" s="4" t="n">
        <x:f>H63*D11*E63*2*Tinh_toan_x2!E13/Tinh_toan_x2!E12</x:f>
        <x:v>0.18838142501105232</x:v>
      </x:c>
      <x:c r="J63" s="4" t="n">
        <x:f>I63^2*B63</x:f>
        <x:v>0.0015430650170698424</x:v>
      </x:c>
      <x:c r="K63" s="4" t="n">
        <x:f>H63^2*B63</x:f>
        <x:v>43.83249191179028</x:v>
      </x:c>
      <x:c r="L63" s="4"/>
      <x:c r="M63" s="4"/>
      <x:c r="N63" s="4"/>
    </x:row>
    <x:row r="64" ht="32" customHeight="1">
      <x:c r="A64" s="3" t="str">
        <x:f>A12</x:f>
        <x:v>Nghỉ</x:v>
      </x:c>
      <x:c r="B64" s="4" t="n">
        <x:f>B12*0.173927422568727</x:f>
        <x:v>5.21782267706181</x:v>
      </x:c>
      <x:c r="C64" s="4" t="n">
        <x:v>0.0694318442029737</x:v>
      </x:c>
      <x:c r="D64" s="4" t="n">
        <x:f>B12*C64</x:f>
        <x:v>2.082955326089211</x:v>
      </x:c>
      <x:c r="E64" s="4" t="n">
        <x:f>G12+F12*D64+0.5*E12*D64^2</x:f>
        <x:v>0</x:v>
      </x:c>
      <x:c r="F64" s="4" t="n">
        <x:f>F12+E12*D64</x:f>
        <x:v>0</x:v>
      </x:c>
      <x:c r="G64" s="4" t="n">
        <x:f>D12*C12*(Tinh_toan_x2!E14*Tinh_toan_x2!E17+F64)</x:f>
        <x:v>0</x:v>
      </x:c>
      <x:c r="H64" s="4" t="n">
        <x:f>G64*Tinh_toan_x2!E12/(2*Tinh_toan_x2!E15*Tinh_toan_x2!E13)+D12*(Tinh_toan_x2!C48+Tinh_toan_x2!E52+Tinh_toan_x2!E53/Tinh_toan_x2!E13^2)*2*Tinh_toan_x2!E13/Tinh_toan_x2!E12*F64</x:f>
        <x:v>0</x:v>
      </x:c>
      <x:c r="I64" s="4" t="n">
        <x:f>H64*D12*E64*2*Tinh_toan_x2!E13/Tinh_toan_x2!E12</x:f>
        <x:v>0</x:v>
      </x:c>
      <x:c r="J64" s="4" t="n">
        <x:f>I64^2*B64</x:f>
        <x:v>0</x:v>
      </x:c>
      <x:c r="K64" s="4" t="n">
        <x:f>H64^2*B64</x:f>
        <x:v>0</x:v>
      </x:c>
      <x:c r="L64" s="4"/>
      <x:c r="M64" s="4"/>
      <x:c r="N64" s="4"/>
    </x:row>
    <x:row r="65" ht="32" customHeight="1">
      <x:c r="A65" s="3" t="str">
        <x:f>A12</x:f>
        <x:v>Nghỉ</x:v>
      </x:c>
      <x:c r="B65" s="4" t="n">
        <x:f>B12*0.326072577431273</x:f>
        <x:v>9.782177322938189</x:v>
      </x:c>
      <x:c r="C65" s="4" t="n">
        <x:v>0.330009478207572</x:v>
      </x:c>
      <x:c r="D65" s="4" t="n">
        <x:f>B12*C65</x:f>
        <x:v>9.90028434622716</x:v>
      </x:c>
      <x:c r="E65" s="4" t="n">
        <x:f>G12+F12*D65+0.5*E12*D65^2</x:f>
        <x:v>0</x:v>
      </x:c>
      <x:c r="F65" s="4" t="n">
        <x:f>F12+E12*D65</x:f>
        <x:v>0</x:v>
      </x:c>
      <x:c r="G65" s="4" t="n">
        <x:f>D12*C12*(Tinh_toan_x2!E14*Tinh_toan_x2!E17+F65)</x:f>
        <x:v>0</x:v>
      </x:c>
      <x:c r="H65" s="4" t="n">
        <x:f>G65*Tinh_toan_x2!E12/(2*Tinh_toan_x2!E15*Tinh_toan_x2!E13)+D12*(Tinh_toan_x2!C48+Tinh_toan_x2!E52+Tinh_toan_x2!E53/Tinh_toan_x2!E13^2)*2*Tinh_toan_x2!E13/Tinh_toan_x2!E12*F65</x:f>
        <x:v>0</x:v>
      </x:c>
      <x:c r="I65" s="4" t="n">
        <x:f>H65*D12*E65*2*Tinh_toan_x2!E13/Tinh_toan_x2!E12</x:f>
        <x:v>0</x:v>
      </x:c>
      <x:c r="J65" s="4" t="n">
        <x:f>I65^2*B65</x:f>
        <x:v>0</x:v>
      </x:c>
      <x:c r="K65" s="4" t="n">
        <x:f>H65^2*B65</x:f>
        <x:v>0</x:v>
      </x:c>
      <x:c r="L65" s="4"/>
      <x:c r="M65" s="4"/>
      <x:c r="N65" s="4"/>
    </x:row>
    <x:row r="66" ht="32" customHeight="1">
      <x:c r="A66" s="3" t="str">
        <x:f>A12</x:f>
        <x:v>Nghỉ</x:v>
      </x:c>
      <x:c r="B66" s="4" t="n">
        <x:f>B12*0.326072577431273</x:f>
        <x:v>9.782177322938189</x:v>
      </x:c>
      <x:c r="C66" s="4" t="n">
        <x:v>0.669990521792428</x:v>
      </x:c>
      <x:c r="D66" s="4" t="n">
        <x:f>B12*C66</x:f>
        <x:v>20.09971565377284</x:v>
      </x:c>
      <x:c r="E66" s="4" t="n">
        <x:f>G12+F12*D66+0.5*E12*D66^2</x:f>
        <x:v>0</x:v>
      </x:c>
      <x:c r="F66" s="4" t="n">
        <x:f>F12+E12*D66</x:f>
        <x:v>0</x:v>
      </x:c>
      <x:c r="G66" s="4" t="n">
        <x:f>D12*C12*(Tinh_toan_x2!E14*Tinh_toan_x2!E17+F66)</x:f>
        <x:v>0</x:v>
      </x:c>
      <x:c r="H66" s="4" t="n">
        <x:f>G66*Tinh_toan_x2!E12/(2*Tinh_toan_x2!E15*Tinh_toan_x2!E13)+D12*(Tinh_toan_x2!C48+Tinh_toan_x2!E52+Tinh_toan_x2!E53/Tinh_toan_x2!E13^2)*2*Tinh_toan_x2!E13/Tinh_toan_x2!E12*F66</x:f>
        <x:v>0</x:v>
      </x:c>
      <x:c r="I66" s="4" t="n">
        <x:f>H66*D12*E66*2*Tinh_toan_x2!E13/Tinh_toan_x2!E12</x:f>
        <x:v>0</x:v>
      </x:c>
      <x:c r="J66" s="4" t="n">
        <x:f>I66^2*B66</x:f>
        <x:v>0</x:v>
      </x:c>
      <x:c r="K66" s="4" t="n">
        <x:f>H66^2*B66</x:f>
        <x:v>0</x:v>
      </x:c>
      <x:c r="L66" s="4"/>
      <x:c r="M66" s="4"/>
      <x:c r="N66" s="4"/>
    </x:row>
    <x:row r="67" ht="32" customHeight="1">
      <x:c r="A67" s="3" t="str">
        <x:f>A12</x:f>
        <x:v>Nghỉ</x:v>
      </x:c>
      <x:c r="B67" s="4" t="n">
        <x:f>B12*0.173927422568727</x:f>
        <x:v>5.21782267706181</x:v>
      </x:c>
      <x:c r="C67" s="4" t="n">
        <x:v>0.930568155797026</x:v>
      </x:c>
      <x:c r="D67" s="4" t="n">
        <x:f>B12*C67</x:f>
        <x:v>27.91704467391078</x:v>
      </x:c>
      <x:c r="E67" s="4" t="n">
        <x:f>G12+F12*D67+0.5*E12*D67^2</x:f>
        <x:v>0</x:v>
      </x:c>
      <x:c r="F67" s="4" t="n">
        <x:f>F12+E12*D67</x:f>
        <x:v>0</x:v>
      </x:c>
      <x:c r="G67" s="4" t="n">
        <x:f>D12*C12*(Tinh_toan_x2!E14*Tinh_toan_x2!E17+F67)</x:f>
        <x:v>0</x:v>
      </x:c>
      <x:c r="H67" s="4" t="n">
        <x:f>G67*Tinh_toan_x2!E12/(2*Tinh_toan_x2!E15*Tinh_toan_x2!E13)+D12*(Tinh_toan_x2!C48+Tinh_toan_x2!E52+Tinh_toan_x2!E53/Tinh_toan_x2!E13^2)*2*Tinh_toan_x2!E13/Tinh_toan_x2!E12*F67</x:f>
        <x:v>0</x:v>
      </x:c>
      <x:c r="I67" s="4" t="n">
        <x:f>H67*D12*E67*2*Tinh_toan_x2!E13/Tinh_toan_x2!E12</x:f>
        <x:v>0</x:v>
      </x:c>
      <x:c r="J67" s="4" t="n">
        <x:f>I67^2*B67</x:f>
        <x:v>0</x:v>
      </x:c>
      <x:c r="K67" s="4" t="n">
        <x:f>H67^2*B67</x:f>
        <x:v>0</x:v>
      </x:c>
      <x:c r="L67" s="4"/>
      <x:c r="M67" s="4"/>
      <x:c r="N67" s="4"/>
    </x:row>
    <x:row r="68" ht="32" customHeight="1">
      <x:c r="A68" s="3" t="str">
        <x:f>A13</x:f>
        <x:v>Không tải tăng j+</x:v>
      </x:c>
      <x:c r="B68" s="4" t="n">
        <x:f>B13*0.173927422568727</x:f>
        <x:v>0.04348185564218175</x:v>
      </x:c>
      <x:c r="C68" s="4" t="n">
        <x:v>0.0694318442029737</x:v>
      </x:c>
      <x:c r="D68" s="4" t="n">
        <x:f>B13*C68</x:f>
        <x:v>0.017357961050743425</x:v>
      </x:c>
      <x:c r="E68" s="4" t="n">
        <x:f>G13+F13*D68+0.5*E13*D68^2</x:f>
        <x:v>0.000041320979909365826</x:v>
      </x:c>
      <x:c r="F68" s="4" t="n">
        <x:f>F13+E13*D68</x:f>
        <x:v>0.004761040745346768</x:v>
      </x:c>
      <x:c r="G68" s="4" t="n">
        <x:f>D13*C13*(Tinh_toan_x2!E14*Tinh_toan_x2!E17+F68)</x:f>
        <x:v>-436.620951045467</x:v>
      </x:c>
      <x:c r="H68" s="4" t="n">
        <x:f>G68*Tinh_toan_x2!E12/(2*Tinh_toan_x2!E15*Tinh_toan_x2!E13)+D13*(Tinh_toan_x2!C48+Tinh_toan_x2!E52+Tinh_toan_x2!E53/Tinh_toan_x2!E13^2)*2*Tinh_toan_x2!E13/Tinh_toan_x2!E12*F68</x:f>
        <x:v>-0.717061334595271</x:v>
      </x:c>
      <x:c r="I68" s="4" t="n">
        <x:f>H68*D13*E68*2*Tinh_toan_x2!E13/Tinh_toan_x2!E12</x:f>
        <x:v>0.023703741600475392</x:v>
      </x:c>
      <x:c r="J68" s="4" t="n">
        <x:f>I68^2*B68</x:f>
        <x:v>0.00002443103569246909</x:v>
      </x:c>
      <x:c r="K68" s="4" t="n">
        <x:f>H68^2*B68</x:f>
        <x:v>0.0223573682436624</x:v>
      </x:c>
      <x:c r="L68" s="4"/>
      <x:c r="M68" s="4"/>
      <x:c r="N68" s="4"/>
    </x:row>
    <x:row r="69" ht="32" customHeight="1">
      <x:c r="A69" s="3" t="str">
        <x:f>A13</x:f>
        <x:v>Không tải tăng j+</x:v>
      </x:c>
      <x:c r="B69" s="4" t="n">
        <x:f>B13*0.326072577431273</x:f>
        <x:v>0.08151814435781825</x:v>
      </x:c>
      <x:c r="C69" s="4" t="n">
        <x:v>0.330009478207572</x:v>
      </x:c>
      <x:c r="D69" s="4" t="n">
        <x:f>B13*C69</x:f>
        <x:v>0.082502369551893</x:v>
      </x:c>
      <x:c r="E69" s="4" t="n">
        <x:f>G13+F13*D69+0.5*E13*D69^2</x:f>
        <x:v>0.0009334821917728624</x:v>
      </x:c>
      <x:c r="F69" s="4" t="n">
        <x:f>F13+E13*D69</x:f>
        <x:v>0.022629221362804937</x:v>
      </x:c>
      <x:c r="G69" s="4" t="n">
        <x:f>D13*C13*(Tinh_toan_x2!E14*Tinh_toan_x2!E17+F69)</x:f>
        <x:v>-440.58768714254273</x:v>
      </x:c>
      <x:c r="H69" s="4" t="n">
        <x:f>G69*Tinh_toan_x2!E12/(2*Tinh_toan_x2!E15*Tinh_toan_x2!E13)+D13*(Tinh_toan_x2!C48+Tinh_toan_x2!E52+Tinh_toan_x2!E53/Tinh_toan_x2!E13^2)*2*Tinh_toan_x2!E13/Tinh_toan_x2!E12*F69</x:f>
        <x:v>-1.2797135908197</x:v>
      </x:c>
      <x:c r="I69" s="4" t="n">
        <x:f>H69*D13*E69*2*Tinh_toan_x2!E13/Tinh_toan_x2!E12</x:f>
        <x:v>0.9556718780799148</x:v>
      </x:c>
      <x:c r="J69" s="4" t="n">
        <x:f>I69^2*B69</x:f>
        <x:v>0.07445123359260335</x:v>
      </x:c>
      <x:c r="K69" s="4" t="n">
        <x:f>H69^2*B69</x:f>
        <x:v>0.13349956468784355</x:v>
      </x:c>
      <x:c r="L69" s="4"/>
      <x:c r="M69" s="4"/>
      <x:c r="N69" s="4"/>
    </x:row>
    <x:row r="70" ht="32" customHeight="1">
      <x:c r="A70" s="3" t="str">
        <x:f>A13</x:f>
        <x:v>Không tải tăng j+</x:v>
      </x:c>
      <x:c r="B70" s="4" t="n">
        <x:f>B13*0.326072577431273</x:f>
        <x:v>0.08151814435781825</x:v>
      </x:c>
      <x:c r="C70" s="4" t="n">
        <x:v>0.669990521792428</x:v>
      </x:c>
      <x:c r="D70" s="4" t="n">
        <x:f>B13*C70</x:f>
        <x:v>0.167497630448107</x:v>
      </x:c>
      <x:c r="E70" s="4" t="n">
        <x:f>G13+F13*D70+0.5*E13*D70^2</x:f>
        <x:v>0.0038476054225002</x:v>
      </x:c>
      <x:c r="F70" s="4" t="n">
        <x:f>F13+E13*D70</x:f>
        <x:v>0.04594220720862364</x:v>
      </x:c>
      <x:c r="G70" s="4" t="n">
        <x:f>D13*C13*(Tinh_toan_x2!E14*Tinh_toan_x2!E17+F70)</x:f>
        <x:v>-445.7631700003145</x:v>
      </x:c>
      <x:c r="H70" s="4" t="n">
        <x:f>G70*Tinh_toan_x2!E12/(2*Tinh_toan_x2!E15*Tinh_toan_x2!E13)+D13*(Tinh_toan_x2!C48+Tinh_toan_x2!E52+Tinh_toan_x2!E53/Tinh_toan_x2!E13^2)*2*Tinh_toan_x2!E13/Tinh_toan_x2!E12*F70</x:f>
        <x:v>-2.0138176591803</x:v>
      </x:c>
      <x:c r="I70" s="4" t="n">
        <x:f>H70*D13*E70*2*Tinh_toan_x2!E13/Tinh_toan_x2!E12</x:f>
        <x:v>6.198700596311026</x:v>
      </x:c>
      <x:c r="J70" s="4" t="n">
        <x:f>I70^2*B70</x:f>
        <x:v>3.1322441370328793</x:v>
      </x:c>
      <x:c r="K70" s="4" t="n">
        <x:f>H70^2*B70</x:f>
        <x:v>0.33059370124649656</x:v>
      </x:c>
      <x:c r="L70" s="4"/>
      <x:c r="M70" s="4"/>
      <x:c r="N70" s="4"/>
    </x:row>
    <x:row r="71" ht="32" customHeight="1">
      <x:c r="A71" s="3" t="str">
        <x:f>A13</x:f>
        <x:v>Không tải tăng j+</x:v>
      </x:c>
      <x:c r="B71" s="4" t="n">
        <x:f>B13*0.173927422568727</x:f>
        <x:v>0.04348185564218175</x:v>
      </x:c>
      <x:c r="C71" s="4" t="n">
        <x:v>0.930568155797026</x:v>
      </x:c>
      <x:c r="D71" s="4" t="n">
        <x:f>B13*C71</x:f>
        <x:v>0.2326420389492565</x:v>
      </x:c>
      <x:c r="E71" s="4" t="n">
        <x:f>G13+F13*D71+0.5*E13*D71^2</x:f>
        <x:v>0.007422489365001241</x:v>
      </x:c>
      <x:c r="F71" s="4" t="n">
        <x:f>F13+E13*D71</x:f>
        <x:v>0.06381038782608178</x:v>
      </x:c>
      <x:c r="G71" s="4" t="n">
        <x:f>D13*C13*(Tinh_toan_x2!E14*Tinh_toan_x2!E17+F71)</x:f>
        <x:v>-449.72990609739014</x:v>
      </x:c>
      <x:c r="H71" s="4" t="n">
        <x:f>G71*Tinh_toan_x2!E12/(2*Tinh_toan_x2!E15*Tinh_toan_x2!E13)+D13*(Tinh_toan_x2!C48+Tinh_toan_x2!E52+Tinh_toan_x2!E53/Tinh_toan_x2!E13^2)*2*Tinh_toan_x2!E13/Tinh_toan_x2!E12*F71</x:f>
        <x:v>-2.5764699154047284</x:v>
      </x:c>
      <x:c r="I71" s="4" t="n">
        <x:f>H71*D13*E71*2*Tinh_toan_x2!E13/Tinh_toan_x2!E12</x:f>
        <x:v>15.299056437069794</x:v>
      </x:c>
      <x:c r="J71" s="4" t="n">
        <x:f>I71^2*B71</x:f>
        <x:v>10.177412173256812</x:v>
      </x:c>
      <x:c r="K71" s="4" t="n">
        <x:f>H71^2*B71</x:f>
        <x:v>0.28864113346115744</x:v>
      </x:c>
      <x:c r="L71" s="4"/>
      <x:c r="M71" s="4"/>
      <x:c r="N71" s="4"/>
    </x:row>
    <x:row r="72" ht="32" customHeight="1">
      <x:c r="A72" s="3" t="str">
        <x:f>A14</x:f>
        <x:v>Không tải tăng a</x:v>
      </x:c>
      <x:c r="B72" s="4" t="n">
        <x:f>B14*0.173927422568727</x:f>
        <x:v>0.2608911338530905</x:v>
      </x:c>
      <x:c r="C72" s="4" t="n">
        <x:v>0.0694318442029737</x:v>
      </x:c>
      <x:c r="D72" s="4" t="n">
        <x:f>B14*C72</x:f>
        <x:v>0.10414776630446054</x:v>
      </x:c>
      <x:c r="E72" s="4" t="n">
        <x:f>G14+F14*D72+0.5*E14*D72^2</x:f>
        <x:v>0.015712989689448724</x:v>
      </x:c>
      <x:c r="F72" s="4" t="n">
        <x:f>F14+E14*D72</x:f>
        <x:v>0.06857142857142857</x:v>
      </x:c>
      <x:c r="G72" s="4" t="n">
        <x:f>D14*C14*(Tinh_toan_x2!E14*Tinh_toan_x2!E17+F72)</x:f>
        <x:v>-450.7868571428572</x:v>
      </x:c>
      <x:c r="H72" s="4" t="n">
        <x:f>G72*Tinh_toan_x2!E12/(2*Tinh_toan_x2!E15*Tinh_toan_x2!E13)+D14*(Tinh_toan_x2!C48+Tinh_toan_x2!E52+Tinh_toan_x2!E53/Tinh_toan_x2!E13^2)*2*Tinh_toan_x2!E13/Tinh_toan_x2!E12*F72</x:f>
        <x:v>-2.7263906250000005</x:v>
      </x:c>
      <x:c r="I72" s="4" t="n">
        <x:f>H72*D14*E72*2*Tinh_toan_x2!E13/Tinh_toan_x2!E12</x:f>
        <x:v>34.27179822402774</x:v>
      </x:c>
      <x:c r="J72" s="4" t="n">
        <x:f>I72^2*B72</x:f>
        <x:v>306.4312866629496</x:v>
      </x:c>
      <x:c r="K72" s="4" t="n">
        <x:f>H72^2*B72</x:f>
        <x:v>1.9392574997839445</x:v>
      </x:c>
      <x:c r="L72" s="4"/>
      <x:c r="M72" s="4"/>
      <x:c r="N72" s="4"/>
    </x:row>
    <x:row r="73" ht="32" customHeight="1">
      <x:c r="A73" s="3" t="str">
        <x:f>A14</x:f>
        <x:v>Không tải tăng a</x:v>
      </x:c>
      <x:c r="B73" s="4" t="n">
        <x:f>B14*0.326072577431273</x:f>
        <x:v>0.4891088661469095</x:v>
      </x:c>
      <x:c r="C73" s="4" t="n">
        <x:v>0.330009478207572</x:v>
      </x:c>
      <x:c r="D73" s="4" t="n">
        <x:f>B14*C73</x:f>
        <x:v>0.495014217311358</x:v>
      </x:c>
      <x:c r="E73" s="4" t="n">
        <x:f>G14+F14*D73+0.5*E14*D73^2</x:f>
        <x:v>0.04251526061563598</x:v>
      </x:c>
      <x:c r="F73" s="4" t="n">
        <x:f>F14+E14*D73</x:f>
        <x:v>0.06857142857142857</x:v>
      </x:c>
      <x:c r="G73" s="4" t="n">
        <x:f>D14*C14*(Tinh_toan_x2!E14*Tinh_toan_x2!E17+F73)</x:f>
        <x:v>-450.7868571428572</x:v>
      </x:c>
      <x:c r="H73" s="4" t="n">
        <x:f>G73*Tinh_toan_x2!E12/(2*Tinh_toan_x2!E15*Tinh_toan_x2!E13)+D14*(Tinh_toan_x2!C48+Tinh_toan_x2!E52+Tinh_toan_x2!E53/Tinh_toan_x2!E13^2)*2*Tinh_toan_x2!E13/Tinh_toan_x2!E12*F73</x:f>
        <x:v>-2.7263906250000005</x:v>
      </x:c>
      <x:c r="I73" s="4" t="n">
        <x:f>H73*D14*E73*2*Tinh_toan_x2!E13/Tinh_toan_x2!E12</x:f>
        <x:v>92.73056636952136</x:v>
      </x:c>
      <x:c r="J73" s="4" t="n">
        <x:f>I73^2*B73</x:f>
        <x:v>4205.826567693047</x:v>
      </x:c>
      <x:c r="K73" s="4" t="n">
        <x:f>H73^2*B73</x:f>
        <x:v>3.6356468802819757</x:v>
      </x:c>
      <x:c r="L73" s="4"/>
      <x:c r="M73" s="4"/>
      <x:c r="N73" s="4"/>
    </x:row>
    <x:row r="74" ht="32" customHeight="1">
      <x:c r="A74" s="3" t="str">
        <x:f>A14</x:f>
        <x:v>Không tải tăng a</x:v>
      </x:c>
      <x:c r="B74" s="4" t="n">
        <x:f>B14*0.326072577431273</x:f>
        <x:v>0.4891088661469095</x:v>
      </x:c>
      <x:c r="C74" s="4" t="n">
        <x:v>0.669990521792428</x:v>
      </x:c>
      <x:c r="D74" s="4" t="n">
        <x:f>B14*C74</x:f>
        <x:v>1.004985782688642</x:v>
      </x:c>
      <x:c r="E74" s="4" t="n">
        <x:f>G14+F14*D74+0.5*E14*D74^2</x:f>
        <x:v>0.07748473938436402</x:v>
      </x:c>
      <x:c r="F74" s="4" t="n">
        <x:f>F14+E14*D74</x:f>
        <x:v>0.06857142857142857</x:v>
      </x:c>
      <x:c r="G74" s="4" t="n">
        <x:f>D14*C14*(Tinh_toan_x2!E14*Tinh_toan_x2!E17+F74)</x:f>
        <x:v>-450.7868571428572</x:v>
      </x:c>
      <x:c r="H74" s="4" t="n">
        <x:f>G74*Tinh_toan_x2!E12/(2*Tinh_toan_x2!E15*Tinh_toan_x2!E13)+D14*(Tinh_toan_x2!C48+Tinh_toan_x2!E52+Tinh_toan_x2!E53/Tinh_toan_x2!E13^2)*2*Tinh_toan_x2!E13/Tinh_toan_x2!E12*F74</x:f>
        <x:v>-2.7263906250000005</x:v>
      </x:c>
      <x:c r="I74" s="4" t="n">
        <x:f>H74*D14*E74*2*Tinh_toan_x2!E13/Tinh_toan_x2!E12</x:f>
        <x:v>169.0029336304787</x:v>
      </x:c>
      <x:c r="J74" s="4" t="n">
        <x:f>I74^2*B74</x:f>
        <x:v>13969.923314492116</x:v>
      </x:c>
      <x:c r="K74" s="4" t="n">
        <x:f>H74^2*B74</x:f>
        <x:v>3.6356468802819757</x:v>
      </x:c>
      <x:c r="L74" s="4"/>
      <x:c r="M74" s="4"/>
      <x:c r="N74" s="4"/>
    </x:row>
    <x:row r="75" ht="32" customHeight="1">
      <x:c r="A75" s="3" t="str">
        <x:f>A14</x:f>
        <x:v>Không tải tăng a</x:v>
      </x:c>
      <x:c r="B75" s="4" t="n">
        <x:f>B14*0.173927422568727</x:f>
        <x:v>0.2608911338530905</x:v>
      </x:c>
      <x:c r="C75" s="4" t="n">
        <x:v>0.930568155797026</x:v>
      </x:c>
      <x:c r="D75" s="4" t="n">
        <x:f>B14*C75</x:f>
        <x:v>1.395852233695539</x:v>
      </x:c>
      <x:c r="E75" s="4" t="n">
        <x:f>G14+F14*D75+0.5*E14*D75^2</x:f>
        <x:v>0.10428701031055125</x:v>
      </x:c>
      <x:c r="F75" s="4" t="n">
        <x:f>F14+E14*D75</x:f>
        <x:v>0.06857142857142857</x:v>
      </x:c>
      <x:c r="G75" s="4" t="n">
        <x:f>D14*C14*(Tinh_toan_x2!E14*Tinh_toan_x2!E17+F75)</x:f>
        <x:v>-450.7868571428572</x:v>
      </x:c>
      <x:c r="H75" s="4" t="n">
        <x:f>G75*Tinh_toan_x2!E12/(2*Tinh_toan_x2!E15*Tinh_toan_x2!E13)+D14*(Tinh_toan_x2!C48+Tinh_toan_x2!E52+Tinh_toan_x2!E53/Tinh_toan_x2!E13^2)*2*Tinh_toan_x2!E13/Tinh_toan_x2!E12*F75</x:f>
        <x:v>-2.7263906250000005</x:v>
      </x:c>
      <x:c r="I75" s="4" t="n">
        <x:f>H75*D14*E75*2*Tinh_toan_x2!E13/Tinh_toan_x2!E12</x:f>
        <x:v>227.46170177597227</x:v>
      </x:c>
      <x:c r="J75" s="4" t="n">
        <x:f>I75^2*B75</x:f>
        <x:v>13498.200920620646</x:v>
      </x:c>
      <x:c r="K75" s="4" t="n">
        <x:f>H75^2*B75</x:f>
        <x:v>1.9392574997839445</x:v>
      </x:c>
      <x:c r="L75" s="4"/>
      <x:c r="M75" s="4"/>
      <x:c r="N75" s="4"/>
    </x:row>
    <x:row r="76" ht="32" customHeight="1">
      <x:c r="A76" s="3" t="str">
        <x:f>A15</x:f>
        <x:v>Không tải tăng j-</x:v>
      </x:c>
      <x:c r="B76" s="4" t="n">
        <x:f>B15*0.173927422568727</x:f>
        <x:v>0.04348185564218175</x:v>
      </x:c>
      <x:c r="C76" s="4" t="n">
        <x:v>0.0694318442029737</x:v>
      </x:c>
      <x:c r="D76" s="4" t="n">
        <x:f>B15*C76</x:f>
        <x:v>0.017357961050743425</x:v>
      </x:c>
      <x:c r="E76" s="4" t="n">
        <x:f>G15+F15*D76+0.5*E15*D76^2</x:f>
        <x:v>0.11257751063499878</x:v>
      </x:c>
      <x:c r="F76" s="4" t="n">
        <x:f>F15+E15*D76</x:f>
        <x:v>0.06381038782608181</x:v>
      </x:c>
      <x:c r="G76" s="4" t="n">
        <x:f>D15*C15*(Tinh_toan_x2!E14*Tinh_toan_x2!E17+F76)</x:f>
        <x:v>-449.72990609739014</x:v>
      </x:c>
      <x:c r="H76" s="4" t="n">
        <x:f>G76*Tinh_toan_x2!E12/(2*Tinh_toan_x2!E15*Tinh_toan_x2!E13)+D15*(Tinh_toan_x2!C48+Tinh_toan_x2!E52+Tinh_toan_x2!E53/Tinh_toan_x2!E13^2)*2*Tinh_toan_x2!E13/Tinh_toan_x2!E12*F76</x:f>
        <x:v>-2.5764699154047292</x:v>
      </x:c>
      <x:c r="I76" s="4" t="n">
        <x:f>H76*D15*E76*2*Tinh_toan_x2!E13/Tinh_toan_x2!E12</x:f>
        <x:v>232.04205544178427</x:v>
      </x:c>
      <x:c r="J76" s="4" t="n">
        <x:f>I76^2*B76</x:f>
        <x:v>2341.2159679623824</x:v>
      </x:c>
      <x:c r="K76" s="4" t="n">
        <x:f>H76^2*B76</x:f>
        <x:v>0.28864113346115766</x:v>
      </x:c>
      <x:c r="L76" s="4"/>
      <x:c r="M76" s="4"/>
      <x:c r="N76" s="4"/>
    </x:row>
    <x:row r="77" ht="32" customHeight="1">
      <x:c r="A77" s="3" t="str">
        <x:f>A15</x:f>
        <x:v>Không tải tăng j-</x:v>
      </x:c>
      <x:c r="B77" s="4" t="n">
        <x:f>B15*0.326072577431273</x:f>
        <x:v>0.08151814435781825</x:v>
      </x:c>
      <x:c r="C77" s="4" t="n">
        <x:v>0.330009478207572</x:v>
      </x:c>
      <x:c r="D77" s="4" t="n">
        <x:f>B15*C77</x:f>
        <x:v>0.082502369551893</x:v>
      </x:c>
      <x:c r="E77" s="4" t="n">
        <x:f>G15+F15*D77+0.5*E15*D77^2</x:f>
        <x:v>0.11615239457749982</x:v>
      </x:c>
      <x:c r="F77" s="4" t="n">
        <x:f>F15+E15*D77</x:f>
        <x:v>0.04594220720862364</x:v>
      </x:c>
      <x:c r="G77" s="4" t="n">
        <x:f>D15*C15*(Tinh_toan_x2!E14*Tinh_toan_x2!E17+F77)</x:f>
        <x:v>-445.7631700003145</x:v>
      </x:c>
      <x:c r="H77" s="4" t="n">
        <x:f>G77*Tinh_toan_x2!E12/(2*Tinh_toan_x2!E15*Tinh_toan_x2!E13)+D15*(Tinh_toan_x2!C48+Tinh_toan_x2!E52+Tinh_toan_x2!E53/Tinh_toan_x2!E13^2)*2*Tinh_toan_x2!E13/Tinh_toan_x2!E12*F77</x:f>
        <x:v>-2.0138176591803</x:v>
      </x:c>
      <x:c r="I77" s="4" t="n">
        <x:f>H77*D15*E77*2*Tinh_toan_x2!E13/Tinh_toan_x2!E12</x:f>
        <x:v>187.1277946849978</x:v>
      </x:c>
      <x:c r="J77" s="4" t="n">
        <x:f>I77^2*B77</x:f>
        <x:v>2854.505498367464</x:v>
      </x:c>
      <x:c r="K77" s="4" t="n">
        <x:f>H77^2*B77</x:f>
        <x:v>0.33059370124649656</x:v>
      </x:c>
      <x:c r="L77" s="4"/>
      <x:c r="M77" s="4"/>
      <x:c r="N77" s="4"/>
    </x:row>
    <x:row r="78" ht="32" customHeight="1">
      <x:c r="A78" s="3" t="str">
        <x:f>A15</x:f>
        <x:v>Không tải tăng j-</x:v>
      </x:c>
      <x:c r="B78" s="4" t="n">
        <x:f>B15*0.326072577431273</x:f>
        <x:v>0.08151814435781825</x:v>
      </x:c>
      <x:c r="C78" s="4" t="n">
        <x:v>0.669990521792428</x:v>
      </x:c>
      <x:c r="D78" s="4" t="n">
        <x:f>B15*C78</x:f>
        <x:v>0.167497630448107</x:v>
      </x:c>
      <x:c r="E78" s="4" t="n">
        <x:f>G15+F15*D78+0.5*E15*D78^2</x:f>
        <x:v>0.11906651780822715</x:v>
      </x:c>
      <x:c r="F78" s="4" t="n">
        <x:f>F15+E15*D78</x:f>
        <x:v>0.022629221362804937</x:v>
      </x:c>
      <x:c r="G78" s="4" t="n">
        <x:f>D15*C15*(Tinh_toan_x2!E14*Tinh_toan_x2!E17+F78)</x:f>
        <x:v>-440.58768714254273</x:v>
      </x:c>
      <x:c r="H78" s="4" t="n">
        <x:f>G78*Tinh_toan_x2!E12/(2*Tinh_toan_x2!E15*Tinh_toan_x2!E13)+D15*(Tinh_toan_x2!C48+Tinh_toan_x2!E52+Tinh_toan_x2!E53/Tinh_toan_x2!E13^2)*2*Tinh_toan_x2!E13/Tinh_toan_x2!E12*F78</x:f>
        <x:v>-1.2797135908197</x:v>
      </x:c>
      <x:c r="I78" s="4" t="n">
        <x:f>H78*D15*E78*2*Tinh_toan_x2!E13/Tinh_toan_x2!E12</x:f>
        <x:v>121.89683284061128</x:v>
      </x:c>
      <x:c r="J78" s="4" t="n">
        <x:f>I78^2*B78</x:f>
        <x:v>1211.264889381445</x:v>
      </x:c>
      <x:c r="K78" s="4" t="n">
        <x:f>H78^2*B78</x:f>
        <x:v>0.13349956468784355</x:v>
      </x:c>
      <x:c r="L78" s="4"/>
      <x:c r="M78" s="4"/>
      <x:c r="N78" s="4"/>
    </x:row>
    <x:row r="79" ht="32" customHeight="1">
      <x:c r="A79" s="3" t="str">
        <x:f>A15</x:f>
        <x:v>Không tải tăng j-</x:v>
      </x:c>
      <x:c r="B79" s="4" t="n">
        <x:f>B15*0.173927422568727</x:f>
        <x:v>0.04348185564218175</x:v>
      </x:c>
      <x:c r="C79" s="4" t="n">
        <x:v>0.930568155797026</x:v>
      </x:c>
      <x:c r="D79" s="4" t="n">
        <x:f>B15*C79</x:f>
        <x:v>0.2326420389492565</x:v>
      </x:c>
      <x:c r="E79" s="4" t="n">
        <x:f>G15+F15*D79+0.5*E15*D79^2</x:f>
        <x:v>0.11995867902009065</x:v>
      </x:c>
      <x:c r="F79" s="4" t="n">
        <x:f>F15+E15*D79</x:f>
        <x:v>0.004761040745346792</x:v>
      </x:c>
      <x:c r="G79" s="4" t="n">
        <x:f>D15*C15*(Tinh_toan_x2!E14*Tinh_toan_x2!E17+F79)</x:f>
        <x:v>-436.62095104546705</x:v>
      </x:c>
      <x:c r="H79" s="4" t="n">
        <x:f>G79*Tinh_toan_x2!E12/(2*Tinh_toan_x2!E15*Tinh_toan_x2!E13)+D15*(Tinh_toan_x2!C48+Tinh_toan_x2!E52+Tinh_toan_x2!E53/Tinh_toan_x2!E13^2)*2*Tinh_toan_x2!E13/Tinh_toan_x2!E12*F79</x:f>
        <x:v>-0.7170613345952719</x:v>
      </x:c>
      <x:c r="I79" s="4" t="n">
        <x:f>H79*D15*E79*2*Tinh_toan_x2!E13/Tinh_toan_x2!E12</x:f>
        <x:v>68.81418437954564</x:v>
      </x:c>
      <x:c r="J79" s="4" t="n">
        <x:f>I79^2*B79</x:f>
        <x:v>205.90363012791505</x:v>
      </x:c>
      <x:c r="K79" s="4" t="n">
        <x:f>H79^2*B79</x:f>
        <x:v>0.022357368243662457</x:v>
      </x:c>
      <x:c r="L79" s="4"/>
      <x:c r="M79" s="4"/>
      <x:c r="N79" s="4"/>
    </x:row>
    <x:row r="80" ht="32" customHeight="1">
      <x:c r="A80" s="3" t="str">
        <x:f>A16</x:f>
        <x:v>Không tải đều</x:v>
      </x:c>
      <x:c r="B80" s="4" t="n">
        <x:f>B16*0.173927422568727</x:f>
        <x:v>14.349012361919979</x:v>
      </x:c>
      <x:c r="C80" s="4" t="n">
        <x:v>0.0694318442029737</x:v>
      </x:c>
      <x:c r="D80" s="4" t="n">
        <x:f>B16*C80</x:f>
        <x:v>5.72812714674533</x:v>
      </x:c>
      <x:c r="E80" s="4" t="n">
        <x:f>G16+F16*D80+0.5*E16*D80^2</x:f>
        <x:v>0.12000000000000001</x:v>
      </x:c>
      <x:c r="F80" s="4" t="n">
        <x:f>F16+E16*D80</x:f>
        <x:v>0</x:v>
      </x:c>
      <x:c r="G80" s="4" t="n">
        <x:f>D16*C16*(Tinh_toan_x2!E14*Tinh_toan_x2!E17+F80)</x:f>
        <x:v>-435.564</x:v>
      </x:c>
      <x:c r="H80" s="4" t="n">
        <x:f>G80*Tinh_toan_x2!E12/(2*Tinh_toan_x2!E15*Tinh_toan_x2!E13)+D16*(Tinh_toan_x2!C48+Tinh_toan_x2!E52+Tinh_toan_x2!E53/Tinh_toan_x2!E13^2)*2*Tinh_toan_x2!E13/Tinh_toan_x2!E12*F80</x:f>
        <x:v>-0.5671406250000001</x:v>
      </x:c>
      <x:c r="I80" s="4" t="n">
        <x:f>H80*D16*E80*2*Tinh_toan_x2!E13/Tinh_toan_x2!E12</x:f>
        <x:v>54.44550000000001</x:v>
      </x:c>
      <x:c r="J80" s="4" t="n">
        <x:f>I80^2*B80</x:f>
        <x:v>42534.95628021081</x:v>
      </x:c>
      <x:c r="K80" s="4" t="n">
        <x:f>H80^2*B80</x:f>
        <x:v>4.6153381380437075</x:v>
      </x:c>
      <x:c r="L80" s="4"/>
      <x:c r="M80" s="4"/>
      <x:c r="N80" s="4"/>
    </x:row>
    <x:row r="81" ht="32" customHeight="1">
      <x:c r="A81" s="3" t="str">
        <x:f>A16</x:f>
        <x:v>Không tải đều</x:v>
      </x:c>
      <x:c r="B81" s="4" t="n">
        <x:f>B16*0.326072577431273</x:f>
        <x:v>26.90098763808002</x:v>
      </x:c>
      <x:c r="C81" s="4" t="n">
        <x:v>0.330009478207572</x:v>
      </x:c>
      <x:c r="D81" s="4" t="n">
        <x:f>B16*C81</x:f>
        <x:v>27.225781952124688</x:v>
      </x:c>
      <x:c r="E81" s="4" t="n">
        <x:f>G16+F16*D81+0.5*E16*D81^2</x:f>
        <x:v>0.12000000000000001</x:v>
      </x:c>
      <x:c r="F81" s="4" t="n">
        <x:f>F16+E16*D81</x:f>
        <x:v>0</x:v>
      </x:c>
      <x:c r="G81" s="4" t="n">
        <x:f>D16*C16*(Tinh_toan_x2!E14*Tinh_toan_x2!E17+F81)</x:f>
        <x:v>-435.564</x:v>
      </x:c>
      <x:c r="H81" s="4" t="n">
        <x:f>G81*Tinh_toan_x2!E12/(2*Tinh_toan_x2!E15*Tinh_toan_x2!E13)+D16*(Tinh_toan_x2!C48+Tinh_toan_x2!E52+Tinh_toan_x2!E53/Tinh_toan_x2!E13^2)*2*Tinh_toan_x2!E13/Tinh_toan_x2!E12*F81</x:f>
        <x:v>-0.5671406250000001</x:v>
      </x:c>
      <x:c r="I81" s="4" t="n">
        <x:f>H81*D16*E81*2*Tinh_toan_x2!E13/Tinh_toan_x2!E12</x:f>
        <x:v>54.44550000000001</x:v>
      </x:c>
      <x:c r="J81" s="4" t="n">
        <x:f>I81^2*B81</x:f>
        <x:v>79742.93311760173</x:v>
      </x:c>
      <x:c r="K81" s="4" t="n">
        <x:f>H81^2*B81</x:f>
        <x:v>8.652662013628658</x:v>
      </x:c>
      <x:c r="L81" s="4"/>
      <x:c r="M81" s="4"/>
      <x:c r="N81" s="4"/>
    </x:row>
    <x:row r="82" ht="32" customHeight="1">
      <x:c r="A82" s="3" t="str">
        <x:f>A16</x:f>
        <x:v>Không tải đều</x:v>
      </x:c>
      <x:c r="B82" s="4" t="n">
        <x:f>B16*0.326072577431273</x:f>
        <x:v>26.90098763808002</x:v>
      </x:c>
      <x:c r="C82" s="4" t="n">
        <x:v>0.669990521792428</x:v>
      </x:c>
      <x:c r="D82" s="4" t="n">
        <x:f>B16*C82</x:f>
        <x:v>55.27421804787531</x:v>
      </x:c>
      <x:c r="E82" s="4" t="n">
        <x:f>G16+F16*D82+0.5*E16*D82^2</x:f>
        <x:v>0.12000000000000001</x:v>
      </x:c>
      <x:c r="F82" s="4" t="n">
        <x:f>F16+E16*D82</x:f>
        <x:v>0</x:v>
      </x:c>
      <x:c r="G82" s="4" t="n">
        <x:f>D16*C16*(Tinh_toan_x2!E14*Tinh_toan_x2!E17+F82)</x:f>
        <x:v>-435.564</x:v>
      </x:c>
      <x:c r="H82" s="4" t="n">
        <x:f>G82*Tinh_toan_x2!E12/(2*Tinh_toan_x2!E15*Tinh_toan_x2!E13)+D16*(Tinh_toan_x2!C48+Tinh_toan_x2!E52+Tinh_toan_x2!E53/Tinh_toan_x2!E13^2)*2*Tinh_toan_x2!E13/Tinh_toan_x2!E12*F82</x:f>
        <x:v>-0.5671406250000001</x:v>
      </x:c>
      <x:c r="I82" s="4" t="n">
        <x:f>H82*D16*E82*2*Tinh_toan_x2!E13/Tinh_toan_x2!E12</x:f>
        <x:v>54.44550000000001</x:v>
      </x:c>
      <x:c r="J82" s="4" t="n">
        <x:f>I82^2*B82</x:f>
        <x:v>79742.93311760173</x:v>
      </x:c>
      <x:c r="K82" s="4" t="n">
        <x:f>H82^2*B82</x:f>
        <x:v>8.652662013628658</x:v>
      </x:c>
      <x:c r="L82" s="4"/>
      <x:c r="M82" s="4"/>
      <x:c r="N82" s="4"/>
    </x:row>
    <x:row r="83" ht="32" customHeight="1">
      <x:c r="A83" s="3" t="str">
        <x:f>A16</x:f>
        <x:v>Không tải đều</x:v>
      </x:c>
      <x:c r="B83" s="4" t="n">
        <x:f>B16*0.173927422568727</x:f>
        <x:v>14.349012361919979</x:v>
      </x:c>
      <x:c r="C83" s="4" t="n">
        <x:v>0.930568155797026</x:v>
      </x:c>
      <x:c r="D83" s="4" t="n">
        <x:f>B16*C83</x:f>
        <x:v>76.77187285325465</x:v>
      </x:c>
      <x:c r="E83" s="4" t="n">
        <x:f>G16+F16*D83+0.5*E16*D83^2</x:f>
        <x:v>0.12000000000000001</x:v>
      </x:c>
      <x:c r="F83" s="4" t="n">
        <x:f>F16+E16*D83</x:f>
        <x:v>0</x:v>
      </x:c>
      <x:c r="G83" s="4" t="n">
        <x:f>D16*C16*(Tinh_toan_x2!E14*Tinh_toan_x2!E17+F83)</x:f>
        <x:v>-435.564</x:v>
      </x:c>
      <x:c r="H83" s="4" t="n">
        <x:f>G83*Tinh_toan_x2!E12/(2*Tinh_toan_x2!E15*Tinh_toan_x2!E13)+D16*(Tinh_toan_x2!C48+Tinh_toan_x2!E52+Tinh_toan_x2!E53/Tinh_toan_x2!E13^2)*2*Tinh_toan_x2!E13/Tinh_toan_x2!E12*F83</x:f>
        <x:v>-0.5671406250000001</x:v>
      </x:c>
      <x:c r="I83" s="4" t="n">
        <x:f>H83*D16*E83*2*Tinh_toan_x2!E13/Tinh_toan_x2!E12</x:f>
        <x:v>54.44550000000001</x:v>
      </x:c>
      <x:c r="J83" s="4" t="n">
        <x:f>I83^2*B83</x:f>
        <x:v>42534.95628021081</x:v>
      </x:c>
      <x:c r="K83" s="4" t="n">
        <x:f>H83^2*B83</x:f>
        <x:v>4.6153381380437075</x:v>
      </x:c>
      <x:c r="L83" s="4"/>
      <x:c r="M83" s="4"/>
      <x:c r="N83" s="4"/>
    </x:row>
    <x:row r="84" ht="32" customHeight="1">
      <x:c r="A84" s="3" t="str">
        <x:f>A17</x:f>
        <x:v>Không tải giảm j-</x:v>
      </x:c>
      <x:c r="B84" s="4" t="n">
        <x:f>B17*0.173927422568727</x:f>
        <x:v>0.04348185564218175</x:v>
      </x:c>
      <x:c r="C84" s="4" t="n">
        <x:v>0.0694318442029737</x:v>
      </x:c>
      <x:c r="D84" s="4" t="n">
        <x:f>B17*C84</x:f>
        <x:v>0.017357961050743425</x:v>
      </x:c>
      <x:c r="E84" s="4" t="n">
        <x:f>G17+F17*D84+0.5*E17*D84^2</x:f>
        <x:v>0.11998477648108603</x:v>
      </x:c>
      <x:c r="F84" s="4" t="n">
        <x:f>F17+E17*D84</x:f>
        <x:v>-0.0017540676430224938</x:v>
      </x:c>
      <x:c r="G84" s="4" t="n">
        <x:f>D17*C17*(Tinh_toan_x2!E14*Tinh_toan_x2!E17+F84)</x:f>
        <x:v>-435.17459698324905</x:v>
      </x:c>
      <x:c r="H84" s="4" t="n">
        <x:f>G84*Tinh_toan_x2!E12/(2*Tinh_toan_x2!E15*Tinh_toan_x2!E13)+D17*(Tinh_toan_x2!C48+Tinh_toan_x2!E52+Tinh_toan_x2!E53/Tinh_toan_x2!E13^2)*2*Tinh_toan_x2!E13/Tinh_toan_x2!E12*F84</x:f>
        <x:v>-0.5119066793596371</x:v>
      </x:c>
      <x:c r="I84" s="4" t="n">
        <x:f>H84*D17*E84*2*Tinh_toan_x2!E13/Tinh_toan_x2!E12</x:f>
        <x:v>49.13680680171282</x:v>
      </x:c>
      <x:c r="J84" s="4" t="n">
        <x:f>I84^2*B84</x:f>
        <x:v>104.98371334076869</x:v>
      </x:c>
      <x:c r="K84" s="4" t="n">
        <x:f>H84^2*B84</x:f>
        <x:v>0.01139435280341295</x:v>
      </x:c>
      <x:c r="L84" s="4"/>
      <x:c r="M84" s="4"/>
      <x:c r="N84" s="4"/>
    </x:row>
    <x:row r="85" ht="32" customHeight="1">
      <x:c r="A85" s="3" t="str">
        <x:f>A17</x:f>
        <x:v>Không tải giảm j-</x:v>
      </x:c>
      <x:c r="B85" s="4" t="n">
        <x:f>B17*0.326072577431273</x:f>
        <x:v>0.08151814435781825</x:v>
      </x:c>
      <x:c r="C85" s="4" t="n">
        <x:v>0.330009478207572</x:v>
      </x:c>
      <x:c r="D85" s="4" t="n">
        <x:f>B17*C85</x:f>
        <x:v>0.082502369551893</x:v>
      </x:c>
      <x:c r="E85" s="4" t="n">
        <x:f>G17+F17*D85+0.5*E17*D85^2</x:f>
        <x:v>0.11965608550829422</x:v>
      </x:c>
      <x:c r="F85" s="4" t="n">
        <x:f>F17+E17*D85</x:f>
        <x:v>-0.008337081554717608</x:v>
      </x:c>
      <x:c r="G85" s="4" t="n">
        <x:f>D17*C17*(Tinh_toan_x2!E14*Tinh_toan_x2!E17+F85)</x:f>
        <x:v>-433.7131678948527</x:v>
      </x:c>
      <x:c r="H85" s="4" t="n">
        <x:f>G85*Tinh_toan_x2!E12/(2*Tinh_toan_x2!E15*Tinh_toan_x2!E13)+D17*(Tinh_toan_x2!C48+Tinh_toan_x2!E52+Tinh_toan_x2!E53/Tinh_toan_x2!E13^2)*2*Tinh_toan_x2!E13/Tinh_toan_x2!E12*F85</x:f>
        <x:v>-0.30461374285590004</x:v>
      </x:c>
      <x:c r="I85" s="4" t="n">
        <x:f>H85*D17*E85*2*Tinh_toan_x2!E13/Tinh_toan_x2!E12</x:f>
        <x:v>29.1591104497337</x:v>
      </x:c>
      <x:c r="J85" s="4" t="n">
        <x:f>I85^2*B85</x:f>
        <x:v>69.31110566868342</x:v>
      </x:c>
      <x:c r="K85" s="4" t="n">
        <x:f>H85^2*B85</x:f>
        <x:v>0.007564030491915956</x:v>
      </x:c>
      <x:c r="L85" s="4"/>
      <x:c r="M85" s="4"/>
      <x:c r="N85" s="4"/>
    </x:row>
    <x:row r="86" ht="32" customHeight="1">
      <x:c r="A86" s="3" t="str">
        <x:f>A17</x:f>
        <x:v>Không tải giảm j-</x:v>
      </x:c>
      <x:c r="B86" s="4" t="n">
        <x:f>B17*0.326072577431273</x:f>
        <x:v>0.08151814435781825</x:v>
      </x:c>
      <x:c r="C86" s="4" t="n">
        <x:v>0.669990521792428</x:v>
      </x:c>
      <x:c r="D86" s="4" t="n">
        <x:f>B17*C86</x:f>
        <x:v>0.167497630448107</x:v>
      </x:c>
      <x:c r="E86" s="4" t="n">
        <x:f>G17+F17*D86+0.5*E17*D86^2</x:f>
        <x:v>0.11858246116013152</x:v>
      </x:c>
      <x:c r="F86" s="4" t="n">
        <x:f>F17+E17*D86</x:f>
        <x:v>-0.016926076340019237</x:v>
      </x:c>
      <x:c r="G86" s="4" t="n">
        <x:f>D17*C17*(Tinh_toan_x2!E14*Tinh_toan_x2!E17+F86)</x:f>
        <x:v>-431.8064110525158</x:v>
      </x:c>
      <x:c r="H86" s="4" t="n">
        <x:f>G86*Tinh_toan_x2!E12/(2*Tinh_toan_x2!E15*Tinh_toan_x2!E13)+D17*(Tinh_toan_x2!C48+Tinh_toan_x2!E52+Tinh_toan_x2!E53/Tinh_toan_x2!E13^2)*2*Tinh_toan_x2!E13/Tinh_toan_x2!E12*F86</x:f>
        <x:v>-0.034154349249363</x:v>
      </x:c>
      <x:c r="I86" s="4" t="n">
        <x:f>H86*D17*E86*2*Tinh_toan_x2!E13/Tinh_toan_x2!E12</x:f>
        <x:v>3.240085434649724</x:v>
      </x:c>
      <x:c r="J86" s="4" t="n">
        <x:f>I86^2*B86</x:f>
        <x:v>0.8557900025978689</x:v>
      </x:c>
      <x:c r="K86" s="4" t="n">
        <x:f>H86^2*B86</x:f>
        <x:v>0.00009509251091929635</x:v>
      </x:c>
      <x:c r="L86" s="4"/>
      <x:c r="M86" s="4"/>
      <x:c r="N86" s="4"/>
    </x:row>
    <x:row r="87" ht="32" customHeight="1">
      <x:c r="A87" s="3" t="str">
        <x:f>A17</x:f>
        <x:v>Không tải giảm j-</x:v>
      </x:c>
      <x:c r="B87" s="4" t="n">
        <x:f>B17*0.173927422568727</x:f>
        <x:v>0.04348185564218175</x:v>
      </x:c>
      <x:c r="C87" s="4" t="n">
        <x:v>0.930568155797026</x:v>
      </x:c>
      <x:c r="D87" s="4" t="n">
        <x:f>B17*C87</x:f>
        <x:v>0.2326420389492565</x:v>
      </x:c>
      <x:c r="E87" s="4" t="n">
        <x:f>G17+F17*D87+0.5*E17*D87^2</x:f>
        <x:v>0.11726539865499955</x:v>
      </x:c>
      <x:c r="F87" s="4" t="n">
        <x:f>F17+E17*D87</x:f>
        <x:v>-0.023509090251714344</x:v>
      </x:c>
      <x:c r="G87" s="4" t="n">
        <x:f>D17*C17*(Tinh_toan_x2!E14*Tinh_toan_x2!E17+F87)</x:f>
        <x:v>-430.3449819641195</x:v>
      </x:c>
      <x:c r="H87" s="4" t="n">
        <x:f>G87*Tinh_toan_x2!E12/(2*Tinh_toan_x2!E15*Tinh_toan_x2!E13)+D17*(Tinh_toan_x2!C48+Tinh_toan_x2!E52+Tinh_toan_x2!E53/Tinh_toan_x2!E13^2)*2*Tinh_toan_x2!E13/Tinh_toan_x2!E12*F87</x:f>
        <x:v>0.1731385872543736</x:v>
      </x:c>
      <x:c r="I87" s="4" t="n">
        <x:f>H87*D17*E87*2*Tinh_toan_x2!E13/Tinh_toan_x2!E12</x:f>
        <x:v>-16.242532365558034</x:v>
      </x:c>
      <x:c r="J87" s="4" t="n">
        <x:f>I87^2*B87</x:f>
        <x:v>11.47137696571302</x:v>
      </x:c>
      <x:c r="K87" s="4" t="n">
        <x:f>H87^2*B87</x:f>
        <x:v>0.0013034542993679745</x:v>
      </x:c>
      <x:c r="L87" s="4"/>
      <x:c r="M87" s="4"/>
      <x:c r="N87" s="4"/>
    </x:row>
    <x:row r="88" ht="32" customHeight="1">
      <x:c r="A88" s="3" t="str">
        <x:f>A18</x:f>
        <x:v>Không tải giảm a</x:v>
      </x:c>
      <x:c r="B88" s="4" t="n">
        <x:f>B18*0.173927422568727</x:f>
        <x:v>0.7826734015592716</x:v>
      </x:c>
      <x:c r="C88" s="4" t="n">
        <x:v>0.0694318442029737</x:v>
      </x:c>
      <x:c r="D88" s="4" t="n">
        <x:f>B18*C88</x:f>
        <x:v>0.31244329891338163</x:v>
      </x:c>
      <x:c r="E88" s="4" t="n">
        <x:f>G18+F18*D88+0.5*E18*D88^2</x:f>
        <x:v>0.10894880086955668</x:v>
      </x:c>
      <x:c r="F88" s="4" t="n">
        <x:f>F18+E18*D88</x:f>
        <x:v>-0.025263157894736845</x:v>
      </x:c>
      <x:c r="G88" s="4" t="n">
        <x:f>D18*C18*(Tinh_toan_x2!E14*Tinh_toan_x2!E17+F88)</x:f>
        <x:v>-429.95557894736845</x:v>
      </x:c>
      <x:c r="H88" s="4" t="n">
        <x:f>G88*Tinh_toan_x2!E12/(2*Tinh_toan_x2!E15*Tinh_toan_x2!E13)+D18*(Tinh_toan_x2!C48+Tinh_toan_x2!E52+Tinh_toan_x2!E53/Tinh_toan_x2!E13^2)*2*Tinh_toan_x2!E13/Tinh_toan_x2!E12*F88</x:f>
        <x:v>0.2283725328947369</x:v>
      </x:c>
      <x:c r="I88" s="4" t="n">
        <x:f>H88*D18*E88*2*Tinh_toan_x2!E13/Tinh_toan_x2!E12</x:f>
        <x:v>-19.904730888339977</x:v>
      </x:c>
      <x:c r="J88" s="4" t="n">
        <x:f>I88^2*B88</x:f>
        <x:v>310.0938803394228</x:v>
      </x:c>
      <x:c r="K88" s="4" t="n">
        <x:f>H88^2*B88</x:f>
        <x:v>0.04081955937075475</x:v>
      </x:c>
      <x:c r="L88" s="4"/>
      <x:c r="M88" s="4"/>
      <x:c r="N88" s="4"/>
    </x:row>
    <x:row r="89" ht="32" customHeight="1">
      <x:c r="A89" s="3" t="str">
        <x:f>A18</x:f>
        <x:v>Không tải giảm a</x:v>
      </x:c>
      <x:c r="B89" s="4" t="n">
        <x:f>B18*0.326072577431273</x:f>
        <x:v>1.4673265984407284</x:v>
      </x:c>
      <x:c r="C89" s="4" t="n">
        <x:v>0.330009478207572</x:v>
      </x:c>
      <x:c r="D89" s="4" t="n">
        <x:f>B18*C89</x:f>
        <x:v>1.4850426519340738</x:v>
      </x:c>
      <x:c r="E89" s="4" t="n">
        <x:f>G18+F18*D89+0.5*E18*D89^2</x:f>
        <x:v>0.07932523826692867</x:v>
      </x:c>
      <x:c r="F89" s="4" t="n">
        <x:f>F18+E18*D89</x:f>
        <x:v>-0.025263157894736845</x:v>
      </x:c>
      <x:c r="G89" s="4" t="n">
        <x:f>D18*C18*(Tinh_toan_x2!E14*Tinh_toan_x2!E17+F89)</x:f>
        <x:v>-429.95557894736845</x:v>
      </x:c>
      <x:c r="H89" s="4" t="n">
        <x:f>G89*Tinh_toan_x2!E12/(2*Tinh_toan_x2!E15*Tinh_toan_x2!E13)+D18*(Tinh_toan_x2!C48+Tinh_toan_x2!E52+Tinh_toan_x2!E53/Tinh_toan_x2!E13^2)*2*Tinh_toan_x2!E13/Tinh_toan_x2!E12*F89</x:f>
        <x:v>0.2283725328947369</x:v>
      </x:c>
      <x:c r="I89" s="4" t="n">
        <x:f>H89*D18*E89*2*Tinh_toan_x2!E13/Tinh_toan_x2!E12</x:f>
        <x:v>-14.492564468397608</x:v>
      </x:c>
      <x:c r="J89" s="4" t="n">
        <x:f>I89^2*B89</x:f>
        <x:v>308.18909820092153</x:v>
      </x:c>
      <x:c r="K89" s="4" t="n">
        <x:f>H89^2*B89</x:f>
        <x:v>0.07652697163595006</x:v>
      </x:c>
      <x:c r="L89" s="4"/>
      <x:c r="M89" s="4"/>
      <x:c r="N89" s="4"/>
    </x:row>
    <x:row r="90" ht="32" customHeight="1">
      <x:c r="A90" s="3" t="str">
        <x:f>A18</x:f>
        <x:v>Không tải giảm a</x:v>
      </x:c>
      <x:c r="B90" s="4" t="n">
        <x:f>B18*0.326072577431273</x:f>
        <x:v>1.4673265984407284</x:v>
      </x:c>
      <x:c r="C90" s="4" t="n">
        <x:v>0.669990521792428</x:v>
      </x:c>
      <x:c r="D90" s="4" t="n">
        <x:f>B18*C90</x:f>
        <x:v>3.014957348065926</x:v>
      </x:c>
      <x:c r="E90" s="4" t="n">
        <x:f>G18+F18*D90+0.5*E18*D90^2</x:f>
        <x:v>0.04067476173307133</x:v>
      </x:c>
      <x:c r="F90" s="4" t="n">
        <x:f>F18+E18*D90</x:f>
        <x:v>-0.025263157894736845</x:v>
      </x:c>
      <x:c r="G90" s="4" t="n">
        <x:f>D18*C18*(Tinh_toan_x2!E14*Tinh_toan_x2!E17+F90)</x:f>
        <x:v>-429.95557894736845</x:v>
      </x:c>
      <x:c r="H90" s="4" t="n">
        <x:f>G90*Tinh_toan_x2!E12/(2*Tinh_toan_x2!E15*Tinh_toan_x2!E13)+D18*(Tinh_toan_x2!C48+Tinh_toan_x2!E52+Tinh_toan_x2!E53/Tinh_toan_x2!E13^2)*2*Tinh_toan_x2!E13/Tinh_toan_x2!E12*F90</x:f>
        <x:v>0.2283725328947369</x:v>
      </x:c>
      <x:c r="I90" s="4" t="n">
        <x:f>H90*D18*E90*2*Tinh_toan_x2!E13/Tinh_toan_x2!E12</x:f>
        <x:v>-7.431198689497134</x:v>
      </x:c>
      <x:c r="J90" s="4" t="n">
        <x:f>I90^2*B90</x:f>
        <x:v>81.02975703567706</x:v>
      </x:c>
      <x:c r="K90" s="4" t="n">
        <x:f>H90^2*B90</x:f>
        <x:v>0.07652697163595006</x:v>
      </x:c>
      <x:c r="L90" s="4"/>
      <x:c r="M90" s="4"/>
      <x:c r="N90" s="4"/>
    </x:row>
    <x:row r="91" ht="32" customHeight="1">
      <x:c r="A91" s="3" t="str">
        <x:f>A18</x:f>
        <x:v>Không tải giảm a</x:v>
      </x:c>
      <x:c r="B91" s="4" t="n">
        <x:f>B18*0.173927422568727</x:f>
        <x:v>0.7826734015592716</x:v>
      </x:c>
      <x:c r="C91" s="4" t="n">
        <x:v>0.930568155797026</x:v>
      </x:c>
      <x:c r="D91" s="4" t="n">
        <x:f>B18*C91</x:f>
        <x:v>4.187556701086617</x:v>
      </x:c>
      <x:c r="E91" s="4" t="n">
        <x:f>G18+F18*D91+0.5*E18*D91^2</x:f>
        <x:v>0.011051199130443348</x:v>
      </x:c>
      <x:c r="F91" s="4" t="n">
        <x:f>F18+E18*D91</x:f>
        <x:v>-0.025263157894736845</x:v>
      </x:c>
      <x:c r="G91" s="4" t="n">
        <x:f>D18*C18*(Tinh_toan_x2!E14*Tinh_toan_x2!E17+F91)</x:f>
        <x:v>-429.95557894736845</x:v>
      </x:c>
      <x:c r="H91" s="4" t="n">
        <x:f>G91*Tinh_toan_x2!E12/(2*Tinh_toan_x2!E15*Tinh_toan_x2!E13)+D18*(Tinh_toan_x2!C48+Tinh_toan_x2!E52+Tinh_toan_x2!E53/Tinh_toan_x2!E13^2)*2*Tinh_toan_x2!E13/Tinh_toan_x2!E12*F91</x:f>
        <x:v>0.2283725328947369</x:v>
      </x:c>
      <x:c r="I91" s="4" t="n">
        <x:f>H91*D18*E91*2*Tinh_toan_x2!E13/Tinh_toan_x2!E12</x:f>
        <x:v>-2.0190322695547693</x:v>
      </x:c>
      <x:c r="J91" s="4" t="n">
        <x:f>I91^2*B91</x:f>
        <x:v>3.1905613165052067</x:v>
      </x:c>
      <x:c r="K91" s="4" t="n">
        <x:f>H91^2*B91</x:f>
        <x:v>0.04081955937075475</x:v>
      </x:c>
      <x:c r="L91" s="4"/>
      <x:c r="M91" s="4"/>
      <x:c r="N91" s="4"/>
    </x:row>
    <x:row r="92" ht="32" customHeight="1">
      <x:c r="A92" s="3" t="str">
        <x:f>A19</x:f>
        <x:v>Không tải giảm j+</x:v>
      </x:c>
      <x:c r="B92" s="4" t="n">
        <x:f>B19*0.173927422568727</x:f>
        <x:v>0.04348185564218175</x:v>
      </x:c>
      <x:c r="C92" s="4" t="n">
        <x:v>0.0694318442029737</x:v>
      </x:c>
      <x:c r="D92" s="4" t="n">
        <x:f>B19*C92</x:f>
        <x:v>0.017357961050743425</x:v>
      </x:c>
      <x:c r="E92" s="4" t="n">
        <x:f>G19+F19*D92+0.5*E19*D92^2</x:f>
        <x:v>0.002734601345000449</x:v>
      </x:c>
      <x:c r="F92" s="4" t="n">
        <x:f>F19+E19*D92</x:f>
        <x:v>-0.02350909025171435</x:v>
      </x:c>
      <x:c r="G92" s="4" t="n">
        <x:f>D19*C19*(Tinh_toan_x2!E14*Tinh_toan_x2!E17+F92)</x:f>
        <x:v>-430.3449819641195</x:v>
      </x:c>
      <x:c r="H92" s="4" t="n">
        <x:f>G92*Tinh_toan_x2!E12/(2*Tinh_toan_x2!E15*Tinh_toan_x2!E13)+D19*(Tinh_toan_x2!C48+Tinh_toan_x2!E52+Tinh_toan_x2!E53/Tinh_toan_x2!E13^2)*2*Tinh_toan_x2!E13/Tinh_toan_x2!E12*F92</x:f>
        <x:v>0.1731385872543738</x:v>
      </x:c>
      <x:c r="I92" s="4" t="n">
        <x:f>H92*D19*E92*2*Tinh_toan_x2!E13/Tinh_toan_x2!E12</x:f>
        <x:v>-0.3787720108618306</x:v>
      </x:c>
      <x:c r="J92" s="4" t="n">
        <x:f>I92^2*B92</x:f>
        <x:v>0.0062382651362223015</x:v>
      </x:c>
      <x:c r="K92" s="4" t="n">
        <x:f>H92^2*B92</x:f>
        <x:v>0.001303454299367978</x:v>
      </x:c>
      <x:c r="L92" s="4"/>
      <x:c r="M92" s="4"/>
      <x:c r="N92" s="4"/>
    </x:row>
    <x:row r="93" ht="32" customHeight="1">
      <x:c r="A93" s="3" t="str">
        <x:f>A19</x:f>
        <x:v>Không tải giảm j+</x:v>
      </x:c>
      <x:c r="B93" s="4" t="n">
        <x:f>B19*0.326072577431273</x:f>
        <x:v>0.08151814435781825</x:v>
      </x:c>
      <x:c r="C93" s="4" t="n">
        <x:v>0.330009478207572</x:v>
      </x:c>
      <x:c r="D93" s="4" t="n">
        <x:f>B19*C93</x:f>
        <x:v>0.082502369551893</x:v>
      </x:c>
      <x:c r="E93" s="4" t="n">
        <x:f>G19+F19*D93+0.5*E19*D93^2</x:f>
        <x:v>0.001417538839868485</x:v>
      </x:c>
      <x:c r="F93" s="4" t="n">
        <x:f>F19+E19*D93</x:f>
        <x:v>-0.016926076340019237</x:v>
      </x:c>
      <x:c r="G93" s="4" t="n">
        <x:f>D19*C19*(Tinh_toan_x2!E14*Tinh_toan_x2!E17+F93)</x:f>
        <x:v>-431.8064110525158</x:v>
      </x:c>
      <x:c r="H93" s="4" t="n">
        <x:f>G93*Tinh_toan_x2!E12/(2*Tinh_toan_x2!E15*Tinh_toan_x2!E13)+D19*(Tinh_toan_x2!C48+Tinh_toan_x2!E52+Tinh_toan_x2!E53/Tinh_toan_x2!E13^2)*2*Tinh_toan_x2!E13/Tinh_toan_x2!E12*F93</x:f>
        <x:v>-0.034154349249363</x:v>
      </x:c>
      <x:c r="I93" s="4" t="n">
        <x:f>H93*D19*E93*2*Tinh_toan_x2!E13/Tinh_toan_x2!E12</x:f>
        <x:v>0.038732093289124074</x:v>
      </x:c>
      <x:c r="J93" s="4" t="n">
        <x:f>I93^2*B93</x:f>
        <x:v>0.00012229148633333624</x:v>
      </x:c>
      <x:c r="K93" s="4" t="n">
        <x:f>H93^2*B93</x:f>
        <x:v>0.00009509251091929635</x:v>
      </x:c>
      <x:c r="L93" s="4"/>
      <x:c r="M93" s="4"/>
      <x:c r="N93" s="4"/>
    </x:row>
    <x:row r="94" ht="32" customHeight="1">
      <x:c r="A94" s="3" t="str">
        <x:f>A19</x:f>
        <x:v>Không tải giảm j+</x:v>
      </x:c>
      <x:c r="B94" s="4" t="n">
        <x:f>B19*0.326072577431273</x:f>
        <x:v>0.08151814435781825</x:v>
      </x:c>
      <x:c r="C94" s="4" t="n">
        <x:v>0.669990521792428</x:v>
      </x:c>
      <x:c r="D94" s="4" t="n">
        <x:f>B19*C94</x:f>
        <x:v>0.167497630448107</x:v>
      </x:c>
      <x:c r="E94" s="4" t="n">
        <x:f>G19+F19*D94+0.5*E19*D94^2</x:f>
        <x:v>0.0003439144917057812</x:v>
      </x:c>
      <x:c r="F94" s="4" t="n">
        <x:f>F19+E19*D94</x:f>
        <x:v>-0.008337081554717608</x:v>
      </x:c>
      <x:c r="G94" s="4" t="n">
        <x:f>D19*C19*(Tinh_toan_x2!E14*Tinh_toan_x2!E17+F94)</x:f>
        <x:v>-433.7131678948527</x:v>
      </x:c>
      <x:c r="H94" s="4" t="n">
        <x:f>G94*Tinh_toan_x2!E12/(2*Tinh_toan_x2!E15*Tinh_toan_x2!E13)+D19*(Tinh_toan_x2!C48+Tinh_toan_x2!E52+Tinh_toan_x2!E53/Tinh_toan_x2!E13^2)*2*Tinh_toan_x2!E13/Tinh_toan_x2!E12*F94</x:f>
        <x:v>-0.30461374285590004</x:v>
      </x:c>
      <x:c r="I94" s="4" t="n">
        <x:f>H94*D19*E94*2*Tinh_toan_x2!E13/Tinh_toan_x2!E12</x:f>
        <x:v>0.08380886443270592</x:v>
      </x:c>
      <x:c r="J94" s="4" t="n">
        <x:f>I94^2*B94</x:f>
        <x:v>0.0005725773938584568</x:v>
      </x:c>
      <x:c r="K94" s="4" t="n">
        <x:f>H94^2*B94</x:f>
        <x:v>0.007564030491915956</x:v>
      </x:c>
      <x:c r="L94" s="4"/>
      <x:c r="M94" s="4"/>
      <x:c r="N94" s="4"/>
    </x:row>
    <x:row r="95" ht="32" customHeight="1">
      <x:c r="A95" s="3" t="str">
        <x:f>A19</x:f>
        <x:v>Không tải giảm j+</x:v>
      </x:c>
      <x:c r="B95" s="4" t="n">
        <x:f>B19*0.173927422568727</x:f>
        <x:v>0.04348185564218175</x:v>
      </x:c>
      <x:c r="C95" s="4" t="n">
        <x:v>0.930568155797026</x:v>
      </x:c>
      <x:c r="D95" s="4" t="n">
        <x:f>B19*C95</x:f>
        <x:v>0.2326420389492565</x:v>
      </x:c>
      <x:c r="E95" s="4" t="n">
        <x:f>G19+F19*D95+0.5*E19*D95^2</x:f>
        <x:v>0.000015223518913967324</x:v>
      </x:c>
      <x:c r="F95" s="4" t="n">
        <x:f>F19+E19*D95</x:f>
        <x:v>-0.0017540676430225013</x:v>
      </x:c>
      <x:c r="G95" s="4" t="n">
        <x:f>D19*C19*(Tinh_toan_x2!E14*Tinh_toan_x2!E17+F95)</x:f>
        <x:v>-435.17459698324905</x:v>
      </x:c>
      <x:c r="H95" s="4" t="n">
        <x:f>G95*Tinh_toan_x2!E12/(2*Tinh_toan_x2!E15*Tinh_toan_x2!E13)+D19*(Tinh_toan_x2!C48+Tinh_toan_x2!E52+Tinh_toan_x2!E53/Tinh_toan_x2!E13^2)*2*Tinh_toan_x2!E13/Tinh_toan_x2!E12*F95</x:f>
        <x:v>-0.5119066793596369</x:v>
      </x:c>
      <x:c r="I95" s="4" t="n">
        <x:f>H95*D19*E95*2*Tinh_toan_x2!E13/Tinh_toan_x2!E12</x:f>
        <x:v>0.006234416812334111</x:v>
      </x:c>
      <x:c r="J95" s="4" t="n">
        <x:f>I95^2*B95</x:f>
        <x:v>0.0000016900507210145565</x:v>
      </x:c>
      <x:c r="K95" s="4" t="n">
        <x:f>H95^2*B95</x:f>
        <x:v>0.01139435280341294</x:v>
      </x:c>
      <x:c r="L95" s="4"/>
      <x:c r="M95" s="4"/>
      <x:c r="N95" s="4"/>
    </x:row>
  </x:sheetData>
  <x:mergeCells>
    <x:mergeCell ref="A1:N1"/>
    <x:mergeCell ref="A2:N2"/>
    <x:mergeCell ref="A34:K3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 ht="32" customHeight="1">
      <x:c r="A1" s="3" t="str">
        <x:v>ĐỒ THỊ ĐỦ HAI LƯỢT CÓ TẢI VÀ KHÔNG TẢI</x:v>
      </x:c>
      <x:c r="B1" s="3"/>
      <x:c r="C1" s="3"/>
      <x:c r="D1" s="3"/>
      <x:c r="E1" s="3"/>
      <x:c r="F1" s="3"/>
      <x:c r="G1" s="3"/>
      <x:c r="H1" s="3"/>
    </x:row>
    <x:row r="2" ht="32" customHeight="1">
      <x:c r="A2" s="3"/>
      <x:c r="B2" s="3"/>
      <x:c r="C2" s="3"/>
      <x:c r="D2" s="3"/>
      <x:c r="E2" s="3"/>
      <x:c r="F2" s="3"/>
      <x:c r="G2" s="3"/>
      <x:c r="H2" s="3"/>
    </x:row>
    <x:row r="3" ht="32" customHeight="1">
      <x:c r="A3" s="3"/>
      <x:c r="B3" s="3"/>
      <x:c r="C3" s="3"/>
      <x:c r="D3" s="3"/>
      <x:c r="E3" s="3"/>
      <x:c r="F3" s="3"/>
      <x:c r="G3" s="3"/>
      <x:c r="H3" s="3"/>
    </x:row>
    <x:row r="4" ht="32" customHeight="1">
      <x:c r="A4" s="5" t="str">
        <x:v>t (s)</x:v>
      </x:c>
      <x:c r="B4" s="5" t="str">
        <x:v>v (m/s)</x:v>
      </x:c>
      <x:c r="C4" s="5" t="str">
        <x:v>F (N)</x:v>
      </x:c>
      <x:c r="D4" s="5" t="str">
        <x:v>P motor (W)</x:v>
      </x:c>
      <x:c r="E4" s="5" t="str">
        <x:v>M motor (N·m)</x:v>
      </x:c>
      <x:c r="F4" s="5" t="str">
        <x:v>a (m/s²)</x:v>
      </x:c>
      <x:c r="G4" s="5" t="str">
        <x:v>j (m/s³)</x:v>
      </x:c>
      <x:c r="H4" s="5" t="str">
        <x:v>Pha</x:v>
      </x:c>
      <x:c r="I4" s="16"/>
      <x:c r="J4" s="16"/>
      <x:c r="K4" s="16"/>
      <x:c r="L4" s="16"/>
      <x:c r="M4" s="16"/>
      <x:c r="N4" s="16"/>
    </x:row>
    <x:row r="5" ht="32" customHeight="1">
      <x:c r="A5" s="3" t="n">
        <x:f>Chu_ky!H5+(Chu_ky!B5*0/10)</x:f>
        <x:v>0</x:v>
      </x:c>
      <x:c r="B5" s="4" t="n">
        <x:f>Chu_ky!D5*(Chu_ky!G5+Chu_ky!F5*(Chu_ky!B5*0/10)+0.5*Chu_ky!E5*(Chu_ky!B5*0/10)^2)</x:f>
        <x:v>0</x:v>
      </x:c>
      <x:c r="C5" s="4" t="n">
        <x:f>Chu_ky!C5*(Chu_ky!D5*Tinh_toan_x2!E14*Tinh_toan_x2!E17+F5)</x:f>
        <x:v>24415.128</x:v>
      </x:c>
      <x:c r="D5" s="4" t="n">
        <x:f>E5*B5*2*Tinh_toan_x2!E13/Tinh_toan_x2!E12</x:f>
        <x:v>0</x:v>
      </x:c>
      <x:c r="E5" s="4" t="n">
        <x:f>C5*Tinh_toan_x2!E12/(2*Tinh_toan_x2!E15*Tinh_toan_x2!E13)+(Tinh_toan_x2!C48+Tinh_toan_x2!E52+Tinh_toan_x2!E53/Tinh_toan_x2!E13^2)*2*Tinh_toan_x2!E13/Tinh_toan_x2!E12*F5</x:f>
        <x:v>31.79053125</x:v>
      </x:c>
      <x:c r="F5" s="4" t="n">
        <x:f>Chu_ky!D5*(Chu_ky!F5+Chu_ky!E5*(Chu_ky!B5*0/10))</x:f>
        <x:v>0</x:v>
      </x:c>
      <x:c r="G5" s="4" t="n">
        <x:f>Chu_ky!D5*Chu_ky!E5</x:f>
        <x:v>0.2742857142857143</x:v>
      </x:c>
      <x:c r="H5" s="4" t="str">
        <x:f>Chu_ky!A5</x:f>
        <x:v>Có tải tăng j+</x:v>
      </x:c>
      <x:c r="I5" s="15"/>
      <x:c r="J5" s="15"/>
      <x:c r="K5" s="15"/>
      <x:c r="L5" s="15"/>
      <x:c r="M5" s="15"/>
      <x:c r="N5" s="15"/>
    </x:row>
    <x:row r="6" ht="32" customHeight="1">
      <x:c r="A6" s="3" t="n">
        <x:f>Chu_ky!H5+(Chu_ky!B5*1/10)</x:f>
        <x:v>0.025</x:v>
      </x:c>
      <x:c r="B6" s="4" t="n">
        <x:f>Chu_ky!D5*(Chu_ky!G5+Chu_ky!F5*(Chu_ky!B5*1/10)+0.5*Chu_ky!E5*(Chu_ky!B5*1/10)^2)</x:f>
        <x:v>0.00008571428571428574</x:v>
      </x:c>
      <x:c r="C6" s="4" t="n">
        <x:f>Chu_ky!C5*(Chu_ky!D5*Tinh_toan_x2!E14*Tinh_toan_x2!E17+F6)</x:f>
        <x:v>24500.45828571429</x:v>
      </x:c>
      <x:c r="D6" s="4" t="n">
        <x:f>E6*B6*2*Tinh_toan_x2!E13/Tinh_toan_x2!E12</x:f>
        <x:v>2.2022112857142866</x:v>
      </x:c>
      <x:c r="E6" s="4" t="n">
        <x:f>C6*Tinh_toan_x2!E12/(2*Tinh_toan_x2!E15*Tinh_toan_x2!E13)+(Tinh_toan_x2!C48+Tinh_toan_x2!E52+Tinh_toan_x2!E53/Tinh_toan_x2!E13^2)*2*Tinh_toan_x2!E13/Tinh_toan_x2!E12*F6</x:f>
        <x:v>32.115581250000005</x:v>
      </x:c>
      <x:c r="F6" s="4" t="n">
        <x:f>Chu_ky!D5*(Chu_ky!F5+Chu_ky!E5*(Chu_ky!B5*1/10))</x:f>
        <x:v>0.006857142857142858</x:v>
      </x:c>
      <x:c r="G6" s="4" t="n">
        <x:f>Chu_ky!D5*Chu_ky!E5</x:f>
        <x:v>0.2742857142857143</x:v>
      </x:c>
      <x:c r="H6" s="4" t="str">
        <x:f>Chu_ky!A5</x:f>
        <x:v>Có tải tăng j+</x:v>
      </x:c>
      <x:c r="I6" s="15"/>
      <x:c r="J6" s="15"/>
      <x:c r="K6" s="15"/>
      <x:c r="L6" s="15"/>
      <x:c r="M6" s="15"/>
      <x:c r="N6" s="15"/>
    </x:row>
    <x:row r="7" ht="32" customHeight="1">
      <x:c r="A7" s="3" t="n">
        <x:f>Chu_ky!H5+(Chu_ky!B5*2/10)</x:f>
        <x:v>0.05</x:v>
      </x:c>
      <x:c r="B7" s="4" t="n">
        <x:f>Chu_ky!D5*(Chu_ky!G5+Chu_ky!F5*(Chu_ky!B5*2/10)+0.5*Chu_ky!E5*(Chu_ky!B5*2/10)^2)</x:f>
        <x:v>0.00034285714285714296</x:v>
      </x:c>
      <x:c r="C7" s="4" t="n">
        <x:f>Chu_ky!C5*(Chu_ky!D5*Tinh_toan_x2!E14*Tinh_toan_x2!E17+F7)</x:f>
        <x:v>24585.788571428573</x:v>
      </x:c>
      <x:c r="D7" s="4" t="n">
        <x:f>E7*B7*2*Tinh_toan_x2!E13/Tinh_toan_x2!E12</x:f>
        <x:v>8.898001714285718</x:v>
      </x:c>
      <x:c r="E7" s="4" t="n">
        <x:f>C7*Tinh_toan_x2!E12/(2*Tinh_toan_x2!E15*Tinh_toan_x2!E13)+(Tinh_toan_x2!C48+Tinh_toan_x2!E52+Tinh_toan_x2!E53/Tinh_toan_x2!E13^2)*2*Tinh_toan_x2!E13/Tinh_toan_x2!E12*F7</x:f>
        <x:v>32.44063125</x:v>
      </x:c>
      <x:c r="F7" s="4" t="n">
        <x:f>Chu_ky!D5*(Chu_ky!F5+Chu_ky!E5*(Chu_ky!B5*2/10))</x:f>
        <x:v>0.013714285714285715</x:v>
      </x:c>
      <x:c r="G7" s="4" t="n">
        <x:f>Chu_ky!D5*Chu_ky!E5</x:f>
        <x:v>0.2742857142857143</x:v>
      </x:c>
      <x:c r="H7" s="4" t="str">
        <x:f>Chu_ky!A5</x:f>
        <x:v>Có tải tăng j+</x:v>
      </x:c>
      <x:c r="I7" s="15"/>
      <x:c r="J7" s="15"/>
      <x:c r="K7" s="15"/>
      <x:c r="L7" s="15"/>
      <x:c r="M7" s="15"/>
      <x:c r="N7" s="15"/>
    </x:row>
    <x:row r="8" ht="32" customHeight="1">
      <x:c r="A8" s="3" t="n">
        <x:f>Chu_ky!H5+(Chu_ky!B5*3/10)</x:f>
        <x:v>0.075</x:v>
      </x:c>
      <x:c r="B8" s="4" t="n">
        <x:f>Chu_ky!D5*(Chu_ky!G5+Chu_ky!F5*(Chu_ky!B5*3/10)+0.5*Chu_ky!E5*(Chu_ky!B5*3/10)^2)</x:f>
        <x:v>0.0007714285714285715</x:v>
      </x:c>
      <x:c r="C8" s="4" t="n">
        <x:f>Chu_ky!C5*(Chu_ky!D5*Tinh_toan_x2!E14*Tinh_toan_x2!E17+F8)</x:f>
        <x:v>24671.118857142857</x:v>
      </x:c>
      <x:c r="D8" s="4" t="n">
        <x:f>E8*B8*2*Tinh_toan_x2!E13/Tinh_toan_x2!E12</x:f>
        <x:v>20.221106142857142</x:v>
      </x:c>
      <x:c r="E8" s="4" t="n">
        <x:f>C8*Tinh_toan_x2!E12/(2*Tinh_toan_x2!E15*Tinh_toan_x2!E13)+(Tinh_toan_x2!C48+Tinh_toan_x2!E52+Tinh_toan_x2!E53/Tinh_toan_x2!E13^2)*2*Tinh_toan_x2!E13/Tinh_toan_x2!E12*F8</x:f>
        <x:v>32.76568125</x:v>
      </x:c>
      <x:c r="F8" s="4" t="n">
        <x:f>Chu_ky!D5*(Chu_ky!F5+Chu_ky!E5*(Chu_ky!B5*3/10))</x:f>
        <x:v>0.02057142857142857</x:v>
      </x:c>
      <x:c r="G8" s="4" t="n">
        <x:f>Chu_ky!D5*Chu_ky!E5</x:f>
        <x:v>0.2742857142857143</x:v>
      </x:c>
      <x:c r="H8" s="4" t="str">
        <x:f>Chu_ky!A5</x:f>
        <x:v>Có tải tăng j+</x:v>
      </x:c>
      <x:c r="I8" s="15"/>
      <x:c r="J8" s="15"/>
      <x:c r="K8" s="15"/>
      <x:c r="L8" s="15"/>
      <x:c r="M8" s="15"/>
      <x:c r="N8" s="15"/>
    </x:row>
    <x:row r="9" ht="32" customHeight="1">
      <x:c r="A9" s="3" t="n">
        <x:f>Chu_ky!H5+(Chu_ky!B5*4/10)</x:f>
        <x:v>0.1</x:v>
      </x:c>
      <x:c r="B9" s="4" t="n">
        <x:f>Chu_ky!D5*(Chu_ky!G5+Chu_ky!F5*(Chu_ky!B5*4/10)+0.5*Chu_ky!E5*(Chu_ky!B5*4/10)^2)</x:f>
        <x:v>0.0013714285714285718</x:v>
      </x:c>
      <x:c r="C9" s="4" t="n">
        <x:f>Chu_ky!C5*(Chu_ky!D5*Tinh_toan_x2!E14*Tinh_toan_x2!E17+F9)</x:f>
        <x:v>24756.449142857145</x:v>
      </x:c>
      <x:c r="D9" s="4" t="n">
        <x:f>E9*B9*2*Tinh_toan_x2!E13/Tinh_toan_x2!E12</x:f>
        <x:v>36.305259428571446</x:v>
      </x:c>
      <x:c r="E9" s="4" t="n">
        <x:f>C9*Tinh_toan_x2!E12/(2*Tinh_toan_x2!E15*Tinh_toan_x2!E13)+(Tinh_toan_x2!C48+Tinh_toan_x2!E52+Tinh_toan_x2!E53/Tinh_toan_x2!E13^2)*2*Tinh_toan_x2!E13/Tinh_toan_x2!E12*F9</x:f>
        <x:v>33.090731250000005</x:v>
      </x:c>
      <x:c r="F9" s="4" t="n">
        <x:f>Chu_ky!D5*(Chu_ky!F5+Chu_ky!E5*(Chu_ky!B5*4/10))</x:f>
        <x:v>0.02742857142857143</x:v>
      </x:c>
      <x:c r="G9" s="4" t="n">
        <x:f>Chu_ky!D5*Chu_ky!E5</x:f>
        <x:v>0.2742857142857143</x:v>
      </x:c>
      <x:c r="H9" s="4" t="str">
        <x:f>Chu_ky!A5</x:f>
        <x:v>Có tải tăng j+</x:v>
      </x:c>
      <x:c r="I9" s="15"/>
      <x:c r="J9" s="15"/>
      <x:c r="K9" s="15"/>
      <x:c r="L9" s="15"/>
      <x:c r="M9" s="15"/>
      <x:c r="N9" s="15"/>
    </x:row>
    <x:row r="10" ht="32" customHeight="1">
      <x:c r="A10" s="3" t="n">
        <x:f>Chu_ky!H5+(Chu_ky!B5*5/10)</x:f>
        <x:v>0.125</x:v>
      </x:c>
      <x:c r="B10" s="4" t="n">
        <x:f>Chu_ky!D5*(Chu_ky!G5+Chu_ky!F5*(Chu_ky!B5*5/10)+0.5*Chu_ky!E5*(Chu_ky!B5*5/10)^2)</x:f>
        <x:v>0.002142857142857143</x:v>
      </x:c>
      <x:c r="C10" s="4" t="n">
        <x:f>Chu_ky!C5*(Chu_ky!D5*Tinh_toan_x2!E14*Tinh_toan_x2!E17+F10)</x:f>
        <x:v>24841.77942857143</x:v>
      </x:c>
      <x:c r="D10" s="4" t="n">
        <x:f>E10*B10*2*Tinh_toan_x2!E13/Tinh_toan_x2!E12</x:f>
        <x:v>57.284196428571434</x:v>
      </x:c>
      <x:c r="E10" s="4" t="n">
        <x:f>C10*Tinh_toan_x2!E12/(2*Tinh_toan_x2!E15*Tinh_toan_x2!E13)+(Tinh_toan_x2!C48+Tinh_toan_x2!E52+Tinh_toan_x2!E53/Tinh_toan_x2!E13^2)*2*Tinh_toan_x2!E13/Tinh_toan_x2!E12*F10</x:f>
        <x:v>33.41578125</x:v>
      </x:c>
      <x:c r="F10" s="4" t="n">
        <x:f>Chu_ky!D5*(Chu_ky!F5+Chu_ky!E5*(Chu_ky!B5*5/10))</x:f>
        <x:v>0.03428571428571429</x:v>
      </x:c>
      <x:c r="G10" s="4" t="n">
        <x:f>Chu_ky!D5*Chu_ky!E5</x:f>
        <x:v>0.2742857142857143</x:v>
      </x:c>
      <x:c r="H10" s="4" t="str">
        <x:f>Chu_ky!A5</x:f>
        <x:v>Có tải tăng j+</x:v>
      </x:c>
      <x:c r="I10" s="15"/>
      <x:c r="J10" s="15"/>
      <x:c r="K10" s="15"/>
      <x:c r="L10" s="15"/>
      <x:c r="M10" s="15"/>
      <x:c r="N10" s="15"/>
    </x:row>
    <x:row r="11" ht="32" customHeight="1">
      <x:c r="A11" s="3" t="n">
        <x:f>Chu_ky!H5+(Chu_ky!B5*6/10)</x:f>
        <x:v>0.15</x:v>
      </x:c>
      <x:c r="B11" s="4" t="n">
        <x:f>Chu_ky!D5*(Chu_ky!G5+Chu_ky!F5*(Chu_ky!B5*6/10)+0.5*Chu_ky!E5*(Chu_ky!B5*6/10)^2)</x:f>
        <x:v>0.003085714285714286</x:v>
      </x:c>
      <x:c r="C11" s="4" t="n">
        <x:f>Chu_ky!C5*(Chu_ky!D5*Tinh_toan_x2!E14*Tinh_toan_x2!E17+F11)</x:f>
        <x:v>24927.109714285714</x:v>
      </x:c>
      <x:c r="D11" s="4" t="n">
        <x:f>E11*B11*2*Tinh_toan_x2!E13/Tinh_toan_x2!E12</x:f>
        <x:v>83.291652</x:v>
      </x:c>
      <x:c r="E11" s="4" t="n">
        <x:f>C11*Tinh_toan_x2!E12/(2*Tinh_toan_x2!E15*Tinh_toan_x2!E13)+(Tinh_toan_x2!C48+Tinh_toan_x2!E52+Tinh_toan_x2!E53/Tinh_toan_x2!E13^2)*2*Tinh_toan_x2!E13/Tinh_toan_x2!E12*F11</x:f>
        <x:v>33.74083125</x:v>
      </x:c>
      <x:c r="F11" s="4" t="n">
        <x:f>Chu_ky!D5*(Chu_ky!F5+Chu_ky!E5*(Chu_ky!B5*6/10))</x:f>
        <x:v>0.04114285714285714</x:v>
      </x:c>
      <x:c r="G11" s="4" t="n">
        <x:f>Chu_ky!D5*Chu_ky!E5</x:f>
        <x:v>0.2742857142857143</x:v>
      </x:c>
      <x:c r="H11" s="4" t="str">
        <x:f>Chu_ky!A5</x:f>
        <x:v>Có tải tăng j+</x:v>
      </x:c>
      <x:c r="I11" s="15"/>
      <x:c r="J11" s="15"/>
      <x:c r="K11" s="15"/>
      <x:c r="L11" s="15"/>
      <x:c r="M11" s="15"/>
      <x:c r="N11" s="15"/>
    </x:row>
    <x:row r="12" ht="32" customHeight="1">
      <x:c r="A12" s="3" t="n">
        <x:f>Chu_ky!H5+(Chu_ky!B5*7/10)</x:f>
        <x:v>0.175</x:v>
      </x:c>
      <x:c r="B12" s="4" t="n">
        <x:f>Chu_ky!D5*(Chu_ky!G5+Chu_ky!F5*(Chu_ky!B5*7/10)+0.5*Chu_ky!E5*(Chu_ky!B5*7/10)^2)</x:f>
        <x:v>0.0042</x:v>
      </x:c>
      <x:c r="C12" s="4" t="n">
        <x:f>Chu_ky!C5*(Chu_ky!D5*Tinh_toan_x2!E14*Tinh_toan_x2!E17+F12)</x:f>
        <x:v>25012.440000000002</x:v>
      </x:c>
      <x:c r="D12" s="4" t="n">
        <x:f>E12*B12*2*Tinh_toan_x2!E13/Tinh_toan_x2!E12</x:f>
        <x:v>114.46136100000001</x:v>
      </x:c>
      <x:c r="E12" s="4" t="n">
        <x:f>C12*Tinh_toan_x2!E12/(2*Tinh_toan_x2!E15*Tinh_toan_x2!E13)+(Tinh_toan_x2!C48+Tinh_toan_x2!E52+Tinh_toan_x2!E53/Tinh_toan_x2!E13^2)*2*Tinh_toan_x2!E13/Tinh_toan_x2!E12*F12</x:f>
        <x:v>34.065881250000004</x:v>
      </x:c>
      <x:c r="F12" s="4" t="n">
        <x:f>Chu_ky!D5*(Chu_ky!F5+Chu_ky!E5*(Chu_ky!B5*7/10))</x:f>
        <x:v>0.048</x:v>
      </x:c>
      <x:c r="G12" s="4" t="n">
        <x:f>Chu_ky!D5*Chu_ky!E5</x:f>
        <x:v>0.2742857142857143</x:v>
      </x:c>
      <x:c r="H12" s="4" t="str">
        <x:f>Chu_ky!A5</x:f>
        <x:v>Có tải tăng j+</x:v>
      </x:c>
      <x:c r="I12" s="15"/>
      <x:c r="J12" s="15"/>
      <x:c r="K12" s="15"/>
      <x:c r="L12" s="15"/>
      <x:c r="M12" s="15"/>
      <x:c r="N12" s="15"/>
    </x:row>
    <x:row r="13" ht="32" customHeight="1">
      <x:c r="A13" s="3" t="n">
        <x:f>Chu_ky!H5+(Chu_ky!B5*8/10)</x:f>
        <x:v>0.2</x:v>
      </x:c>
      <x:c r="B13" s="4" t="n">
        <x:f>Chu_ky!D5*(Chu_ky!G5+Chu_ky!F5*(Chu_ky!B5*8/10)+0.5*Chu_ky!E5*(Chu_ky!B5*8/10)^2)</x:f>
        <x:v>0.005485714285714287</x:v>
      </x:c>
      <x:c r="C13" s="4" t="n">
        <x:f>Chu_ky!C5*(Chu_ky!D5*Tinh_toan_x2!E14*Tinh_toan_x2!E17+F13)</x:f>
        <x:v>25097.770285714287</x:v>
      </x:c>
      <x:c r="D13" s="4" t="n">
        <x:f>E13*B13*2*Tinh_toan_x2!E13/Tinh_toan_x2!E12</x:f>
        <x:v>150.92705828571434</x:v>
      </x:c>
      <x:c r="E13" s="4" t="n">
        <x:f>C13*Tinh_toan_x2!E12/(2*Tinh_toan_x2!E15*Tinh_toan_x2!E13)+(Tinh_toan_x2!C48+Tinh_toan_x2!E52+Tinh_toan_x2!E53/Tinh_toan_x2!E13^2)*2*Tinh_toan_x2!E13/Tinh_toan_x2!E12*F13</x:f>
        <x:v>34.39093125</x:v>
      </x:c>
      <x:c r="F13" s="4" t="n">
        <x:f>Chu_ky!D5*(Chu_ky!F5+Chu_ky!E5*(Chu_ky!B5*8/10))</x:f>
        <x:v>0.05485714285714286</x:v>
      </x:c>
      <x:c r="G13" s="4" t="n">
        <x:f>Chu_ky!D5*Chu_ky!E5</x:f>
        <x:v>0.2742857142857143</x:v>
      </x:c>
      <x:c r="H13" s="4" t="str">
        <x:f>Chu_ky!A5</x:f>
        <x:v>Có tải tăng j+</x:v>
      </x:c>
      <x:c r="I13" s="15"/>
      <x:c r="J13" s="15"/>
      <x:c r="K13" s="15"/>
      <x:c r="L13" s="15"/>
      <x:c r="M13" s="15"/>
      <x:c r="N13" s="15"/>
    </x:row>
    <x:row r="14" ht="32" customHeight="1">
      <x:c r="A14" s="3" t="n">
        <x:f>Chu_ky!H5+(Chu_ky!B5*9/10)</x:f>
        <x:v>0.225</x:v>
      </x:c>
      <x:c r="B14" s="4" t="n">
        <x:f>Chu_ky!D5*(Chu_ky!G5+Chu_ky!F5*(Chu_ky!B5*9/10)+0.5*Chu_ky!E5*(Chu_ky!B5*9/10)^2)</x:f>
        <x:v>0.006942857142857144</x:v>
      </x:c>
      <x:c r="C14" s="4" t="n">
        <x:f>Chu_ky!C5*(Chu_ky!D5*Tinh_toan_x2!E14*Tinh_toan_x2!E17+F14)</x:f>
        <x:v>25183.100571428575</x:v>
      </x:c>
      <x:c r="D14" s="4" t="n">
        <x:f>E14*B14*2*Tinh_toan_x2!E13/Tinh_toan_x2!E12</x:f>
        <x:v>192.82247871428578</x:v>
      </x:c>
      <x:c r="E14" s="4" t="n">
        <x:f>C14*Tinh_toan_x2!E12/(2*Tinh_toan_x2!E15*Tinh_toan_x2!E13)+(Tinh_toan_x2!C48+Tinh_toan_x2!E52+Tinh_toan_x2!E53/Tinh_toan_x2!E13^2)*2*Tinh_toan_x2!E13/Tinh_toan_x2!E12*F14</x:f>
        <x:v>34.715981250000006</x:v>
      </x:c>
      <x:c r="F14" s="4" t="n">
        <x:f>Chu_ky!D5*(Chu_ky!F5+Chu_ky!E5*(Chu_ky!B5*9/10))</x:f>
        <x:v>0.06171428571428572</x:v>
      </x:c>
      <x:c r="G14" s="4" t="n">
        <x:f>Chu_ky!D5*Chu_ky!E5</x:f>
        <x:v>0.2742857142857143</x:v>
      </x:c>
      <x:c r="H14" s="4" t="str">
        <x:f>Chu_ky!A5</x:f>
        <x:v>Có tải tăng j+</x:v>
      </x:c>
      <x:c r="I14" s="15"/>
      <x:c r="J14" s="15"/>
      <x:c r="K14" s="15"/>
      <x:c r="L14" s="15"/>
      <x:c r="M14" s="15"/>
      <x:c r="N14" s="15"/>
    </x:row>
    <x:row r="15" ht="32" customHeight="1">
      <x:c r="A15" s="3" t="n">
        <x:f>Chu_ky!H5+(Chu_ky!B5*10/10)</x:f>
        <x:v>0.25</x:v>
      </x:c>
      <x:c r="B15" s="4" t="n">
        <x:f>Chu_ky!D5*(Chu_ky!G5+Chu_ky!F5*(Chu_ky!B5*10/10)+0.5*Chu_ky!E5*(Chu_ky!B5*10/10)^2)</x:f>
        <x:v>0.008571428571428572</x:v>
      </x:c>
      <x:c r="C15" s="4" t="n">
        <x:f>Chu_ky!C5*(Chu_ky!D5*Tinh_toan_x2!E14*Tinh_toan_x2!E17+F15)</x:f>
        <x:v>25268.43085714286</x:v>
      </x:c>
      <x:c r="D15" s="4" t="n">
        <x:f>E15*B15*2*Tinh_toan_x2!E13/Tinh_toan_x2!E12</x:f>
        <x:v>240.28135714285716</x:v>
      </x:c>
      <x:c r="E15" s="4" t="n">
        <x:f>C15*Tinh_toan_x2!E12/(2*Tinh_toan_x2!E15*Tinh_toan_x2!E13)+(Tinh_toan_x2!C48+Tinh_toan_x2!E52+Tinh_toan_x2!E53/Tinh_toan_x2!E13^2)*2*Tinh_toan_x2!E13/Tinh_toan_x2!E12*F15</x:f>
        <x:v>35.04103125</x:v>
      </x:c>
      <x:c r="F15" s="4" t="n">
        <x:f>Chu_ky!D5*(Chu_ky!F5+Chu_ky!E5*(Chu_ky!B5*10/10))</x:f>
        <x:v>0.06857142857142857</x:v>
      </x:c>
      <x:c r="G15" s="4" t="n">
        <x:f>Chu_ky!D5*Chu_ky!E5</x:f>
        <x:v>0.2742857142857143</x:v>
      </x:c>
      <x:c r="H15" s="4" t="str">
        <x:f>Chu_ky!A5</x:f>
        <x:v>Có tải tăng j+</x:v>
      </x:c>
      <x:c r="I15" s="15"/>
      <x:c r="J15" s="15"/>
      <x:c r="K15" s="15"/>
      <x:c r="L15" s="15"/>
      <x:c r="M15" s="15"/>
      <x:c r="N15" s="15"/>
    </x:row>
    <x:row r="16" ht="32" customHeight="1">
      <x:c r="A16" s="3" t="n">
        <x:f>Chu_ky!H6+(Chu_ky!B6*0/10)</x:f>
        <x:v>0.25</x:v>
      </x:c>
      <x:c r="B16" s="4" t="n">
        <x:f>Chu_ky!D6*(Chu_ky!G6+Chu_ky!F6*(Chu_ky!B6*0/10)+0.5*Chu_ky!E6*(Chu_ky!B6*0/10)^2)</x:f>
        <x:v>0.008571428571428572</x:v>
      </x:c>
      <x:c r="C16" s="4" t="n">
        <x:f>Chu_ky!C6*(Chu_ky!D6*Tinh_toan_x2!E14*Tinh_toan_x2!E17+F16)</x:f>
        <x:v>25268.43085714286</x:v>
      </x:c>
      <x:c r="D16" s="4" t="n">
        <x:f>E16*B16*2*Tinh_toan_x2!E13/Tinh_toan_x2!E12</x:f>
        <x:v>240.28135714285716</x:v>
      </x:c>
      <x:c r="E16" s="4" t="n">
        <x:f>C16*Tinh_toan_x2!E12/(2*Tinh_toan_x2!E15*Tinh_toan_x2!E13)+(Tinh_toan_x2!C48+Tinh_toan_x2!E52+Tinh_toan_x2!E53/Tinh_toan_x2!E13^2)*2*Tinh_toan_x2!E13/Tinh_toan_x2!E12*F16</x:f>
        <x:v>35.04103125</x:v>
      </x:c>
      <x:c r="F16" s="4" t="n">
        <x:f>Chu_ky!D6*(Chu_ky!F6+Chu_ky!E6*(Chu_ky!B6*0/10))</x:f>
        <x:v>0.06857142857142857</x:v>
      </x:c>
      <x:c r="G16" s="4" t="n">
        <x:f>Chu_ky!D6*Chu_ky!E6</x:f>
        <x:v>0</x:v>
      </x:c>
      <x:c r="H16" s="4" t="str">
        <x:f>Chu_ky!A6</x:f>
        <x:v>Có tải tăng a</x:v>
      </x:c>
      <x:c r="I16" s="15"/>
      <x:c r="J16" s="15"/>
      <x:c r="K16" s="15"/>
      <x:c r="L16" s="15"/>
      <x:c r="M16" s="15"/>
      <x:c r="N16" s="15"/>
    </x:row>
    <x:row r="17" ht="32" customHeight="1">
      <x:c r="A17" s="3" t="n">
        <x:f>Chu_ky!H6+(Chu_ky!B6*1/10)</x:f>
        <x:v>0.4</x:v>
      </x:c>
      <x:c r="B17" s="4" t="n">
        <x:f>Chu_ky!D6*(Chu_ky!G6+Chu_ky!F6*(Chu_ky!B6*1/10)+0.5*Chu_ky!E6*(Chu_ky!B6*1/10)^2)</x:f>
        <x:v>0.018857142857142857</x:v>
      </x:c>
      <x:c r="C17" s="4" t="n">
        <x:f>Chu_ky!C6*(Chu_ky!D6*Tinh_toan_x2!E14*Tinh_toan_x2!E17+F17)</x:f>
        <x:v>25268.43085714286</x:v>
      </x:c>
      <x:c r="D17" s="4" t="n">
        <x:f>E17*B17*2*Tinh_toan_x2!E13/Tinh_toan_x2!E12</x:f>
        <x:v>528.6189857142857</x:v>
      </x:c>
      <x:c r="E17" s="4" t="n">
        <x:f>C17*Tinh_toan_x2!E12/(2*Tinh_toan_x2!E15*Tinh_toan_x2!E13)+(Tinh_toan_x2!C48+Tinh_toan_x2!E52+Tinh_toan_x2!E53/Tinh_toan_x2!E13^2)*2*Tinh_toan_x2!E13/Tinh_toan_x2!E12*F17</x:f>
        <x:v>35.04103125</x:v>
      </x:c>
      <x:c r="F17" s="4" t="n">
        <x:f>Chu_ky!D6*(Chu_ky!F6+Chu_ky!E6*(Chu_ky!B6*1/10))</x:f>
        <x:v>0.06857142857142857</x:v>
      </x:c>
      <x:c r="G17" s="4" t="n">
        <x:f>Chu_ky!D6*Chu_ky!E6</x:f>
        <x:v>0</x:v>
      </x:c>
      <x:c r="H17" s="4" t="str">
        <x:f>Chu_ky!A6</x:f>
        <x:v>Có tải tăng a</x:v>
      </x:c>
      <x:c r="I17" s="15"/>
      <x:c r="J17" s="15"/>
      <x:c r="K17" s="15"/>
      <x:c r="L17" s="15"/>
      <x:c r="M17" s="15"/>
      <x:c r="N17" s="15"/>
    </x:row>
    <x:row r="18" ht="32" customHeight="1">
      <x:c r="A18" s="3" t="n">
        <x:f>Chu_ky!H6+(Chu_ky!B6*2/10)</x:f>
        <x:v>0.55</x:v>
      </x:c>
      <x:c r="B18" s="4" t="n">
        <x:f>Chu_ky!D6*(Chu_ky!G6+Chu_ky!F6*(Chu_ky!B6*2/10)+0.5*Chu_ky!E6*(Chu_ky!B6*2/10)^2)</x:f>
        <x:v>0.029142857142857144</x:v>
      </x:c>
      <x:c r="C18" s="4" t="n">
        <x:f>Chu_ky!C6*(Chu_ky!D6*Tinh_toan_x2!E14*Tinh_toan_x2!E17+F18)</x:f>
        <x:v>25268.43085714286</x:v>
      </x:c>
      <x:c r="D18" s="4" t="n">
        <x:f>E18*B18*2*Tinh_toan_x2!E13/Tinh_toan_x2!E12</x:f>
        <x:v>816.9566142857144</x:v>
      </x:c>
      <x:c r="E18" s="4" t="n">
        <x:f>C18*Tinh_toan_x2!E12/(2*Tinh_toan_x2!E15*Tinh_toan_x2!E13)+(Tinh_toan_x2!C48+Tinh_toan_x2!E52+Tinh_toan_x2!E53/Tinh_toan_x2!E13^2)*2*Tinh_toan_x2!E13/Tinh_toan_x2!E12*F18</x:f>
        <x:v>35.04103125</x:v>
      </x:c>
      <x:c r="F18" s="4" t="n">
        <x:f>Chu_ky!D6*(Chu_ky!F6+Chu_ky!E6*(Chu_ky!B6*2/10))</x:f>
        <x:v>0.06857142857142857</x:v>
      </x:c>
      <x:c r="G18" s="4" t="n">
        <x:f>Chu_ky!D6*Chu_ky!E6</x:f>
        <x:v>0</x:v>
      </x:c>
      <x:c r="H18" s="4" t="str">
        <x:f>Chu_ky!A6</x:f>
        <x:v>Có tải tăng a</x:v>
      </x:c>
      <x:c r="I18" s="15"/>
      <x:c r="J18" s="15"/>
      <x:c r="K18" s="15"/>
      <x:c r="L18" s="15"/>
      <x:c r="M18" s="15"/>
      <x:c r="N18" s="15"/>
    </x:row>
    <x:row r="19" ht="32" customHeight="1">
      <x:c r="A19" s="3" t="n">
        <x:f>Chu_ky!H6+(Chu_ky!B6*3/10)</x:f>
        <x:v>0.7</x:v>
      </x:c>
      <x:c r="B19" s="4" t="n">
        <x:f>Chu_ky!D6*(Chu_ky!G6+Chu_ky!F6*(Chu_ky!B6*3/10)+0.5*Chu_ky!E6*(Chu_ky!B6*3/10)^2)</x:f>
        <x:v>0.03942857142857143</x:v>
      </x:c>
      <x:c r="C19" s="4" t="n">
        <x:f>Chu_ky!C6*(Chu_ky!D6*Tinh_toan_x2!E14*Tinh_toan_x2!E17+F19)</x:f>
        <x:v>25268.43085714286</x:v>
      </x:c>
      <x:c r="D19" s="4" t="n">
        <x:f>E19*B19*2*Tinh_toan_x2!E13/Tinh_toan_x2!E12</x:f>
        <x:v>1105.294242857143</x:v>
      </x:c>
      <x:c r="E19" s="4" t="n">
        <x:f>C19*Tinh_toan_x2!E12/(2*Tinh_toan_x2!E15*Tinh_toan_x2!E13)+(Tinh_toan_x2!C48+Tinh_toan_x2!E52+Tinh_toan_x2!E53/Tinh_toan_x2!E13^2)*2*Tinh_toan_x2!E13/Tinh_toan_x2!E12*F19</x:f>
        <x:v>35.04103125</x:v>
      </x:c>
      <x:c r="F19" s="4" t="n">
        <x:f>Chu_ky!D6*(Chu_ky!F6+Chu_ky!E6*(Chu_ky!B6*3/10))</x:f>
        <x:v>0.06857142857142857</x:v>
      </x:c>
      <x:c r="G19" s="4" t="n">
        <x:f>Chu_ky!D6*Chu_ky!E6</x:f>
        <x:v>0</x:v>
      </x:c>
      <x:c r="H19" s="4" t="str">
        <x:f>Chu_ky!A6</x:f>
        <x:v>Có tải tăng a</x:v>
      </x:c>
      <x:c r="I19" s="15"/>
      <x:c r="J19" s="15"/>
      <x:c r="K19" s="15"/>
      <x:c r="L19" s="15"/>
      <x:c r="M19" s="15"/>
      <x:c r="N19" s="15"/>
    </x:row>
    <x:row r="20" ht="32" customHeight="1">
      <x:c r="A20" s="3" t="n">
        <x:f>Chu_ky!H6+(Chu_ky!B6*4/10)</x:f>
        <x:v>0.85</x:v>
      </x:c>
      <x:c r="B20" s="4" t="n">
        <x:f>Chu_ky!D6*(Chu_ky!G6+Chu_ky!F6*(Chu_ky!B6*4/10)+0.5*Chu_ky!E6*(Chu_ky!B6*4/10)^2)</x:f>
        <x:v>0.04971428571428571</x:v>
      </x:c>
      <x:c r="C20" s="4" t="n">
        <x:f>Chu_ky!C6*(Chu_ky!D6*Tinh_toan_x2!E14*Tinh_toan_x2!E17+F20)</x:f>
        <x:v>25268.43085714286</x:v>
      </x:c>
      <x:c r="D20" s="4" t="n">
        <x:f>E20*B20*2*Tinh_toan_x2!E13/Tinh_toan_x2!E12</x:f>
        <x:v>1393.6318714285715</x:v>
      </x:c>
      <x:c r="E20" s="4" t="n">
        <x:f>C20*Tinh_toan_x2!E12/(2*Tinh_toan_x2!E15*Tinh_toan_x2!E13)+(Tinh_toan_x2!C48+Tinh_toan_x2!E52+Tinh_toan_x2!E53/Tinh_toan_x2!E13^2)*2*Tinh_toan_x2!E13/Tinh_toan_x2!E12*F20</x:f>
        <x:v>35.04103125</x:v>
      </x:c>
      <x:c r="F20" s="4" t="n">
        <x:f>Chu_ky!D6*(Chu_ky!F6+Chu_ky!E6*(Chu_ky!B6*4/10))</x:f>
        <x:v>0.06857142857142857</x:v>
      </x:c>
      <x:c r="G20" s="4" t="n">
        <x:f>Chu_ky!D6*Chu_ky!E6</x:f>
        <x:v>0</x:v>
      </x:c>
      <x:c r="H20" s="4" t="str">
        <x:f>Chu_ky!A6</x:f>
        <x:v>Có tải tăng a</x:v>
      </x:c>
      <x:c r="I20" s="15"/>
      <x:c r="J20" s="15"/>
      <x:c r="K20" s="15"/>
      <x:c r="L20" s="15"/>
      <x:c r="M20" s="15"/>
      <x:c r="N20" s="15"/>
    </x:row>
    <x:row r="21" ht="32" customHeight="1">
      <x:c r="A21" s="3" t="n">
        <x:f>Chu_ky!H6+(Chu_ky!B6*5/10)</x:f>
        <x:v>1</x:v>
      </x:c>
      <x:c r="B21" s="4" t="n">
        <x:f>Chu_ky!D6*(Chu_ky!G6+Chu_ky!F6*(Chu_ky!B6*5/10)+0.5*Chu_ky!E6*(Chu_ky!B6*5/10)^2)</x:f>
        <x:v>0.060000000000000005</x:v>
      </x:c>
      <x:c r="C21" s="4" t="n">
        <x:f>Chu_ky!C6*(Chu_ky!D6*Tinh_toan_x2!E14*Tinh_toan_x2!E17+F21)</x:f>
        <x:v>25268.43085714286</x:v>
      </x:c>
      <x:c r="D21" s="4" t="n">
        <x:f>E21*B21*2*Tinh_toan_x2!E13/Tinh_toan_x2!E12</x:f>
        <x:v>1681.9695000000004</x:v>
      </x:c>
      <x:c r="E21" s="4" t="n">
        <x:f>C21*Tinh_toan_x2!E12/(2*Tinh_toan_x2!E15*Tinh_toan_x2!E13)+(Tinh_toan_x2!C48+Tinh_toan_x2!E52+Tinh_toan_x2!E53/Tinh_toan_x2!E13^2)*2*Tinh_toan_x2!E13/Tinh_toan_x2!E12*F21</x:f>
        <x:v>35.04103125</x:v>
      </x:c>
      <x:c r="F21" s="4" t="n">
        <x:f>Chu_ky!D6*(Chu_ky!F6+Chu_ky!E6*(Chu_ky!B6*5/10))</x:f>
        <x:v>0.06857142857142857</x:v>
      </x:c>
      <x:c r="G21" s="4" t="n">
        <x:f>Chu_ky!D6*Chu_ky!E6</x:f>
        <x:v>0</x:v>
      </x:c>
      <x:c r="H21" s="4" t="str">
        <x:f>Chu_ky!A6</x:f>
        <x:v>Có tải tăng a</x:v>
      </x:c>
      <x:c r="I21" s="15"/>
      <x:c r="J21" s="15"/>
      <x:c r="K21" s="15"/>
      <x:c r="L21" s="15"/>
      <x:c r="M21" s="15"/>
      <x:c r="N21" s="15"/>
    </x:row>
    <x:row r="22" ht="32" customHeight="1">
      <x:c r="A22" s="3" t="n">
        <x:f>Chu_ky!H6+(Chu_ky!B6*6/10)</x:f>
        <x:v>1.15</x:v>
      </x:c>
      <x:c r="B22" s="4" t="n">
        <x:f>Chu_ky!D6*(Chu_ky!G6+Chu_ky!F6*(Chu_ky!B6*6/10)+0.5*Chu_ky!E6*(Chu_ky!B6*6/10)^2)</x:f>
        <x:v>0.0702857142857143</x:v>
      </x:c>
      <x:c r="C22" s="4" t="n">
        <x:f>Chu_ky!C6*(Chu_ky!D6*Tinh_toan_x2!E14*Tinh_toan_x2!E17+F22)</x:f>
        <x:v>25268.43085714286</x:v>
      </x:c>
      <x:c r="D22" s="4" t="n">
        <x:f>E22*B22*2*Tinh_toan_x2!E13/Tinh_toan_x2!E12</x:f>
        <x:v>1970.307128571429</x:v>
      </x:c>
      <x:c r="E22" s="4" t="n">
        <x:f>C22*Tinh_toan_x2!E12/(2*Tinh_toan_x2!E15*Tinh_toan_x2!E13)+(Tinh_toan_x2!C48+Tinh_toan_x2!E52+Tinh_toan_x2!E53/Tinh_toan_x2!E13^2)*2*Tinh_toan_x2!E13/Tinh_toan_x2!E12*F22</x:f>
        <x:v>35.04103125</x:v>
      </x:c>
      <x:c r="F22" s="4" t="n">
        <x:f>Chu_ky!D6*(Chu_ky!F6+Chu_ky!E6*(Chu_ky!B6*6/10))</x:f>
        <x:v>0.06857142857142857</x:v>
      </x:c>
      <x:c r="G22" s="4" t="n">
        <x:f>Chu_ky!D6*Chu_ky!E6</x:f>
        <x:v>0</x:v>
      </x:c>
      <x:c r="H22" s="4" t="str">
        <x:f>Chu_ky!A6</x:f>
        <x:v>Có tải tăng a</x:v>
      </x:c>
      <x:c r="I22" s="15"/>
      <x:c r="J22" s="15"/>
      <x:c r="K22" s="15"/>
      <x:c r="L22" s="15"/>
      <x:c r="M22" s="15"/>
      <x:c r="N22" s="15"/>
    </x:row>
    <x:row r="23" ht="32" customHeight="1">
      <x:c r="A23" s="3" t="n">
        <x:f>Chu_ky!H6+(Chu_ky!B6*7/10)</x:f>
        <x:v>1.3</x:v>
      </x:c>
      <x:c r="B23" s="4" t="n">
        <x:f>Chu_ky!D6*(Chu_ky!G6+Chu_ky!F6*(Chu_ky!B6*7/10)+0.5*Chu_ky!E6*(Chu_ky!B6*7/10)^2)</x:f>
        <x:v>0.08057142857142859</x:v>
      </x:c>
      <x:c r="C23" s="4" t="n">
        <x:f>Chu_ky!C6*(Chu_ky!D6*Tinh_toan_x2!E14*Tinh_toan_x2!E17+F23)</x:f>
        <x:v>25268.43085714286</x:v>
      </x:c>
      <x:c r="D23" s="4" t="n">
        <x:f>E23*B23*2*Tinh_toan_x2!E13/Tinh_toan_x2!E12</x:f>
        <x:v>2258.644757142858</x:v>
      </x:c>
      <x:c r="E23" s="4" t="n">
        <x:f>C23*Tinh_toan_x2!E12/(2*Tinh_toan_x2!E15*Tinh_toan_x2!E13)+(Tinh_toan_x2!C48+Tinh_toan_x2!E52+Tinh_toan_x2!E53/Tinh_toan_x2!E13^2)*2*Tinh_toan_x2!E13/Tinh_toan_x2!E12*F23</x:f>
        <x:v>35.04103125</x:v>
      </x:c>
      <x:c r="F23" s="4" t="n">
        <x:f>Chu_ky!D6*(Chu_ky!F6+Chu_ky!E6*(Chu_ky!B6*7/10))</x:f>
        <x:v>0.06857142857142857</x:v>
      </x:c>
      <x:c r="G23" s="4" t="n">
        <x:f>Chu_ky!D6*Chu_ky!E6</x:f>
        <x:v>0</x:v>
      </x:c>
      <x:c r="H23" s="4" t="str">
        <x:f>Chu_ky!A6</x:f>
        <x:v>Có tải tăng a</x:v>
      </x:c>
      <x:c r="I23" s="15"/>
      <x:c r="J23" s="15"/>
      <x:c r="K23" s="15"/>
      <x:c r="L23" s="15"/>
      <x:c r="M23" s="15"/>
      <x:c r="N23" s="15"/>
    </x:row>
    <x:row r="24" ht="32" customHeight="1">
      <x:c r="A24" s="3" t="n">
        <x:f>Chu_ky!H6+(Chu_ky!B6*8/10)</x:f>
        <x:v>1.45</x:v>
      </x:c>
      <x:c r="B24" s="4" t="n">
        <x:f>Chu_ky!D6*(Chu_ky!G6+Chu_ky!F6*(Chu_ky!B6*8/10)+0.5*Chu_ky!E6*(Chu_ky!B6*8/10)^2)</x:f>
        <x:v>0.09085714285714286</x:v>
      </x:c>
      <x:c r="C24" s="4" t="n">
        <x:f>Chu_ky!C6*(Chu_ky!D6*Tinh_toan_x2!E14*Tinh_toan_x2!E17+F24)</x:f>
        <x:v>25268.43085714286</x:v>
      </x:c>
      <x:c r="D24" s="4" t="n">
        <x:f>E24*B24*2*Tinh_toan_x2!E13/Tinh_toan_x2!E12</x:f>
        <x:v>2546.982385714286</x:v>
      </x:c>
      <x:c r="E24" s="4" t="n">
        <x:f>C24*Tinh_toan_x2!E12/(2*Tinh_toan_x2!E15*Tinh_toan_x2!E13)+(Tinh_toan_x2!C48+Tinh_toan_x2!E52+Tinh_toan_x2!E53/Tinh_toan_x2!E13^2)*2*Tinh_toan_x2!E13/Tinh_toan_x2!E12*F24</x:f>
        <x:v>35.04103125</x:v>
      </x:c>
      <x:c r="F24" s="4" t="n">
        <x:f>Chu_ky!D6*(Chu_ky!F6+Chu_ky!E6*(Chu_ky!B6*8/10))</x:f>
        <x:v>0.06857142857142857</x:v>
      </x:c>
      <x:c r="G24" s="4" t="n">
        <x:f>Chu_ky!D6*Chu_ky!E6</x:f>
        <x:v>0</x:v>
      </x:c>
      <x:c r="H24" s="4" t="str">
        <x:f>Chu_ky!A6</x:f>
        <x:v>Có tải tăng a</x:v>
      </x:c>
      <x:c r="I24" s="15"/>
      <x:c r="J24" s="15"/>
      <x:c r="K24" s="15"/>
      <x:c r="L24" s="15"/>
      <x:c r="M24" s="15"/>
      <x:c r="N24" s="15"/>
    </x:row>
    <x:row r="25" ht="32" customHeight="1">
      <x:c r="A25" s="3" t="n">
        <x:f>Chu_ky!H6+(Chu_ky!B6*9/10)</x:f>
        <x:v>1.6</x:v>
      </x:c>
      <x:c r="B25" s="4" t="n">
        <x:f>Chu_ky!D6*(Chu_ky!G6+Chu_ky!F6*(Chu_ky!B6*9/10)+0.5*Chu_ky!E6*(Chu_ky!B6*9/10)^2)</x:f>
        <x:v>0.10114285714285716</x:v>
      </x:c>
      <x:c r="C25" s="4" t="n">
        <x:f>Chu_ky!C6*(Chu_ky!D6*Tinh_toan_x2!E14*Tinh_toan_x2!E17+F25)</x:f>
        <x:v>25268.43085714286</x:v>
      </x:c>
      <x:c r="D25" s="4" t="n">
        <x:f>E25*B25*2*Tinh_toan_x2!E13/Tinh_toan_x2!E12</x:f>
        <x:v>2835.320014285715</x:v>
      </x:c>
      <x:c r="E25" s="4" t="n">
        <x:f>C25*Tinh_toan_x2!E12/(2*Tinh_toan_x2!E15*Tinh_toan_x2!E13)+(Tinh_toan_x2!C48+Tinh_toan_x2!E52+Tinh_toan_x2!E53/Tinh_toan_x2!E13^2)*2*Tinh_toan_x2!E13/Tinh_toan_x2!E12*F25</x:f>
        <x:v>35.04103125</x:v>
      </x:c>
      <x:c r="F25" s="4" t="n">
        <x:f>Chu_ky!D6*(Chu_ky!F6+Chu_ky!E6*(Chu_ky!B6*9/10))</x:f>
        <x:v>0.06857142857142857</x:v>
      </x:c>
      <x:c r="G25" s="4" t="n">
        <x:f>Chu_ky!D6*Chu_ky!E6</x:f>
        <x:v>0</x:v>
      </x:c>
      <x:c r="H25" s="4" t="str">
        <x:f>Chu_ky!A6</x:f>
        <x:v>Có tải tăng a</x:v>
      </x:c>
      <x:c r="I25" s="15"/>
      <x:c r="J25" s="15"/>
      <x:c r="K25" s="15"/>
      <x:c r="L25" s="15"/>
      <x:c r="M25" s="15"/>
      <x:c r="N25" s="15"/>
    </x:row>
    <x:row r="26" ht="32" customHeight="1">
      <x:c r="A26" s="3" t="n">
        <x:f>Chu_ky!H6+(Chu_ky!B6*10/10)</x:f>
        <x:v>1.75</x:v>
      </x:c>
      <x:c r="B26" s="4" t="n">
        <x:f>Chu_ky!D6*(Chu_ky!G6+Chu_ky!F6*(Chu_ky!B6*10/10)+0.5*Chu_ky!E6*(Chu_ky!B6*10/10)^2)</x:f>
        <x:v>0.11142857142857145</x:v>
      </x:c>
      <x:c r="C26" s="4" t="n">
        <x:f>Chu_ky!C6*(Chu_ky!D6*Tinh_toan_x2!E14*Tinh_toan_x2!E17+F26)</x:f>
        <x:v>25268.43085714286</x:v>
      </x:c>
      <x:c r="D26" s="4" t="n">
        <x:f>E26*B26*2*Tinh_toan_x2!E13/Tinh_toan_x2!E12</x:f>
        <x:v>3123.6576428571434</x:v>
      </x:c>
      <x:c r="E26" s="4" t="n">
        <x:f>C26*Tinh_toan_x2!E12/(2*Tinh_toan_x2!E15*Tinh_toan_x2!E13)+(Tinh_toan_x2!C48+Tinh_toan_x2!E52+Tinh_toan_x2!E53/Tinh_toan_x2!E13^2)*2*Tinh_toan_x2!E13/Tinh_toan_x2!E12*F26</x:f>
        <x:v>35.04103125</x:v>
      </x:c>
      <x:c r="F26" s="4" t="n">
        <x:f>Chu_ky!D6*(Chu_ky!F6+Chu_ky!E6*(Chu_ky!B6*10/10))</x:f>
        <x:v>0.06857142857142857</x:v>
      </x:c>
      <x:c r="G26" s="4" t="n">
        <x:f>Chu_ky!D6*Chu_ky!E6</x:f>
        <x:v>0</x:v>
      </x:c>
      <x:c r="H26" s="4" t="str">
        <x:f>Chu_ky!A6</x:f>
        <x:v>Có tải tăng a</x:v>
      </x:c>
      <x:c r="I26" s="15"/>
      <x:c r="J26" s="15"/>
      <x:c r="K26" s="15"/>
      <x:c r="L26" s="15"/>
      <x:c r="M26" s="15"/>
      <x:c r="N26" s="15"/>
    </x:row>
    <x:row r="27" ht="32" customHeight="1">
      <x:c r="A27" s="3" t="n">
        <x:f>Chu_ky!H7+(Chu_ky!B7*0/10)</x:f>
        <x:v>1.75</x:v>
      </x:c>
      <x:c r="B27" s="4" t="n">
        <x:f>Chu_ky!D7*(Chu_ky!G7+Chu_ky!F7*(Chu_ky!B7*0/10)+0.5*Chu_ky!E7*(Chu_ky!B7*0/10)^2)</x:f>
        <x:v>0.11142857142857145</x:v>
      </x:c>
      <x:c r="C27" s="4" t="n">
        <x:f>Chu_ky!C7*(Chu_ky!D7*Tinh_toan_x2!E14*Tinh_toan_x2!E17+F27)</x:f>
        <x:v>25268.43085714286</x:v>
      </x:c>
      <x:c r="D27" s="4" t="n">
        <x:f>E27*B27*2*Tinh_toan_x2!E13/Tinh_toan_x2!E12</x:f>
        <x:v>3123.6576428571434</x:v>
      </x:c>
      <x:c r="E27" s="4" t="n">
        <x:f>C27*Tinh_toan_x2!E12/(2*Tinh_toan_x2!E15*Tinh_toan_x2!E13)+(Tinh_toan_x2!C48+Tinh_toan_x2!E52+Tinh_toan_x2!E53/Tinh_toan_x2!E13^2)*2*Tinh_toan_x2!E13/Tinh_toan_x2!E12*F27</x:f>
        <x:v>35.04103125</x:v>
      </x:c>
      <x:c r="F27" s="4" t="n">
        <x:f>Chu_ky!D7*(Chu_ky!F7+Chu_ky!E7*(Chu_ky!B7*0/10))</x:f>
        <x:v>0.06857142857142857</x:v>
      </x:c>
      <x:c r="G27" s="4" t="n">
        <x:f>Chu_ky!D7*Chu_ky!E7</x:f>
        <x:v>-0.2742857142857143</x:v>
      </x:c>
      <x:c r="H27" s="4" t="str">
        <x:f>Chu_ky!A7</x:f>
        <x:v>Có tải tăng j-</x:v>
      </x:c>
      <x:c r="I27" s="15"/>
      <x:c r="J27" s="15"/>
      <x:c r="K27" s="15"/>
      <x:c r="L27" s="15"/>
      <x:c r="M27" s="15"/>
      <x:c r="N27" s="15"/>
    </x:row>
    <x:row r="28" ht="32" customHeight="1">
      <x:c r="A28" s="3" t="n">
        <x:f>Chu_ky!H7+(Chu_ky!B7*1/10)</x:f>
        <x:v>1.775</x:v>
      </x:c>
      <x:c r="B28" s="4" t="n">
        <x:f>Chu_ky!D7*(Chu_ky!G7+Chu_ky!F7*(Chu_ky!B7*1/10)+0.5*Chu_ky!E7*(Chu_ky!B7*1/10)^2)</x:f>
        <x:v>0.11305714285714287</x:v>
      </x:c>
      <x:c r="C28" s="4" t="n">
        <x:f>Chu_ky!C7*(Chu_ky!D7*Tinh_toan_x2!E14*Tinh_toan_x2!E17+F28)</x:f>
        <x:v>25183.100571428575</x:v>
      </x:c>
      <x:c r="D28" s="4" t="n">
        <x:f>E28*B28*2*Tinh_toan_x2!E13/Tinh_toan_x2!E12</x:f>
        <x:v>3139.9117212857154</x:v>
      </x:c>
      <x:c r="E28" s="4" t="n">
        <x:f>C28*Tinh_toan_x2!E12/(2*Tinh_toan_x2!E15*Tinh_toan_x2!E13)+(Tinh_toan_x2!C48+Tinh_toan_x2!E52+Tinh_toan_x2!E53/Tinh_toan_x2!E13^2)*2*Tinh_toan_x2!E13/Tinh_toan_x2!E12*F28</x:f>
        <x:v>34.715981250000006</x:v>
      </x:c>
      <x:c r="F28" s="4" t="n">
        <x:f>Chu_ky!D7*(Chu_ky!F7+Chu_ky!E7*(Chu_ky!B7*1/10))</x:f>
        <x:v>0.061714285714285715</x:v>
      </x:c>
      <x:c r="G28" s="4" t="n">
        <x:f>Chu_ky!D7*Chu_ky!E7</x:f>
        <x:v>-0.2742857142857143</x:v>
      </x:c>
      <x:c r="H28" s="4" t="str">
        <x:f>Chu_ky!A7</x:f>
        <x:v>Có tải tăng j-</x:v>
      </x:c>
      <x:c r="I28" s="15"/>
      <x:c r="J28" s="15"/>
      <x:c r="K28" s="15"/>
      <x:c r="L28" s="15"/>
      <x:c r="M28" s="15"/>
      <x:c r="N28" s="15"/>
    </x:row>
    <x:row r="29" ht="32" customHeight="1">
      <x:c r="A29" s="3" t="n">
        <x:f>Chu_ky!H7+(Chu_ky!B7*2/10)</x:f>
        <x:v>1.8</x:v>
      </x:c>
      <x:c r="B29" s="4" t="n">
        <x:f>Chu_ky!D7*(Chu_ky!G7+Chu_ky!F7*(Chu_ky!B7*2/10)+0.5*Chu_ky!E7*(Chu_ky!B7*2/10)^2)</x:f>
        <x:v>0.11451428571428574</x:v>
      </x:c>
      <x:c r="C29" s="4" t="n">
        <x:f>Chu_ky!C7*(Chu_ky!D7*Tinh_toan_x2!E14*Tinh_toan_x2!E17+F29)</x:f>
        <x:v>25097.770285714287</x:v>
      </x:c>
      <x:c r="D29" s="4" t="n">
        <x:f>E29*B29*2*Tinh_toan_x2!E13/Tinh_toan_x2!E12</x:f>
        <x:v>3150.6023417142865</x:v>
      </x:c>
      <x:c r="E29" s="4" t="n">
        <x:f>C29*Tinh_toan_x2!E12/(2*Tinh_toan_x2!E15*Tinh_toan_x2!E13)+(Tinh_toan_x2!C48+Tinh_toan_x2!E52+Tinh_toan_x2!E53/Tinh_toan_x2!E13^2)*2*Tinh_toan_x2!E13/Tinh_toan_x2!E12*F29</x:f>
        <x:v>34.39093125</x:v>
      </x:c>
      <x:c r="F29" s="4" t="n">
        <x:f>Chu_ky!D7*(Chu_ky!F7+Chu_ky!E7*(Chu_ky!B7*2/10))</x:f>
        <x:v>0.05485714285714286</x:v>
      </x:c>
      <x:c r="G29" s="4" t="n">
        <x:f>Chu_ky!D7*Chu_ky!E7</x:f>
        <x:v>-0.2742857142857143</x:v>
      </x:c>
      <x:c r="H29" s="4" t="str">
        <x:f>Chu_ky!A7</x:f>
        <x:v>Có tải tăng j-</x:v>
      </x:c>
      <x:c r="I29" s="15"/>
      <x:c r="J29" s="15"/>
      <x:c r="K29" s="15"/>
      <x:c r="L29" s="15"/>
      <x:c r="M29" s="15"/>
      <x:c r="N29" s="15"/>
    </x:row>
    <x:row r="30" ht="32" customHeight="1">
      <x:c r="A30" s="3" t="n">
        <x:f>Chu_ky!H7+(Chu_ky!B7*3/10)</x:f>
        <x:v>1.825</x:v>
      </x:c>
      <x:c r="B30" s="4" t="n">
        <x:f>Chu_ky!D7*(Chu_ky!G7+Chu_ky!F7*(Chu_ky!B7*3/10)+0.5*Chu_ky!E7*(Chu_ky!B7*3/10)^2)</x:f>
        <x:v>0.11580000000000001</x:v>
      </x:c>
      <x:c r="C30" s="4" t="n">
        <x:f>Chu_ky!C7*(Chu_ky!D7*Tinh_toan_x2!E14*Tinh_toan_x2!E17+F30)</x:f>
        <x:v>25012.440000000002</x:v>
      </x:c>
      <x:c r="D30" s="4" t="n">
        <x:f>E30*B30*2*Tinh_toan_x2!E13/Tinh_toan_x2!E12</x:f>
        <x:v>3155.8632390000007</x:v>
      </x:c>
      <x:c r="E30" s="4" t="n">
        <x:f>C30*Tinh_toan_x2!E12/(2*Tinh_toan_x2!E15*Tinh_toan_x2!E13)+(Tinh_toan_x2!C48+Tinh_toan_x2!E52+Tinh_toan_x2!E53/Tinh_toan_x2!E13^2)*2*Tinh_toan_x2!E13/Tinh_toan_x2!E12*F30</x:f>
        <x:v>34.065881250000004</x:v>
      </x:c>
      <x:c r="F30" s="4" t="n">
        <x:f>Chu_ky!D7*(Chu_ky!F7+Chu_ky!E7*(Chu_ky!B7*3/10))</x:f>
        <x:v>0.048</x:v>
      </x:c>
      <x:c r="G30" s="4" t="n">
        <x:f>Chu_ky!D7*Chu_ky!E7</x:f>
        <x:v>-0.2742857142857143</x:v>
      </x:c>
      <x:c r="H30" s="4" t="str">
        <x:f>Chu_ky!A7</x:f>
        <x:v>Có tải tăng j-</x:v>
      </x:c>
      <x:c r="I30" s="15"/>
      <x:c r="J30" s="15"/>
      <x:c r="K30" s="15"/>
      <x:c r="L30" s="15"/>
      <x:c r="M30" s="15"/>
      <x:c r="N30" s="15"/>
    </x:row>
    <x:row r="31" ht="32" customHeight="1">
      <x:c r="A31" s="3" t="n">
        <x:f>Chu_ky!H7+(Chu_ky!B7*4/10)</x:f>
        <x:v>1.85</x:v>
      </x:c>
      <x:c r="B31" s="4" t="n">
        <x:f>Chu_ky!D7*(Chu_ky!G7+Chu_ky!F7*(Chu_ky!B7*4/10)+0.5*Chu_ky!E7*(Chu_ky!B7*4/10)^2)</x:f>
        <x:v>0.11691428571428573</x:v>
      </x:c>
      <x:c r="C31" s="4" t="n">
        <x:f>Chu_ky!C7*(Chu_ky!D7*Tinh_toan_x2!E14*Tinh_toan_x2!E17+F31)</x:f>
        <x:v>24927.109714285718</x:v>
      </x:c>
      <x:c r="D31" s="4" t="n">
        <x:f>E31*B31*2*Tinh_toan_x2!E13/Tinh_toan_x2!E12</x:f>
        <x:v>3155.8281480000014</x:v>
      </x:c>
      <x:c r="E31" s="4" t="n">
        <x:f>C31*Tinh_toan_x2!E12/(2*Tinh_toan_x2!E15*Tinh_toan_x2!E13)+(Tinh_toan_x2!C48+Tinh_toan_x2!E52+Tinh_toan_x2!E53/Tinh_toan_x2!E13^2)*2*Tinh_toan_x2!E13/Tinh_toan_x2!E12*F31</x:f>
        <x:v>33.74083125000001</x:v>
      </x:c>
      <x:c r="F31" s="4" t="n">
        <x:f>Chu_ky!D7*(Chu_ky!F7+Chu_ky!E7*(Chu_ky!B7*4/10))</x:f>
        <x:v>0.04114285714285715</x:v>
      </x:c>
      <x:c r="G31" s="4" t="n">
        <x:f>Chu_ky!D7*Chu_ky!E7</x:f>
        <x:v>-0.2742857142857143</x:v>
      </x:c>
      <x:c r="H31" s="4" t="str">
        <x:f>Chu_ky!A7</x:f>
        <x:v>Có tải tăng j-</x:v>
      </x:c>
      <x:c r="I31" s="15"/>
      <x:c r="J31" s="15"/>
      <x:c r="K31" s="15"/>
      <x:c r="L31" s="15"/>
      <x:c r="M31" s="15"/>
      <x:c r="N31" s="15"/>
    </x:row>
    <x:row r="32" ht="32" customHeight="1">
      <x:c r="A32" s="3" t="n">
        <x:f>Chu_ky!H7+(Chu_ky!B7*5/10)</x:f>
        <x:v>1.875</x:v>
      </x:c>
      <x:c r="B32" s="4" t="n">
        <x:f>Chu_ky!D7*(Chu_ky!G7+Chu_ky!F7*(Chu_ky!B7*5/10)+0.5*Chu_ky!E7*(Chu_ky!B7*5/10)^2)</x:f>
        <x:v>0.11785714285714288</x:v>
      </x:c>
      <x:c r="C32" s="4" t="n">
        <x:f>Chu_ky!C7*(Chu_ky!D7*Tinh_toan_x2!E14*Tinh_toan_x2!E17+F32)</x:f>
        <x:v>24841.77942857143</x:v>
      </x:c>
      <x:c r="D32" s="4" t="n">
        <x:f>E32*B32*2*Tinh_toan_x2!E13/Tinh_toan_x2!E12</x:f>
        <x:v>3150.6308035714296</x:v>
      </x:c>
      <x:c r="E32" s="4" t="n">
        <x:f>C32*Tinh_toan_x2!E12/(2*Tinh_toan_x2!E15*Tinh_toan_x2!E13)+(Tinh_toan_x2!C48+Tinh_toan_x2!E52+Tinh_toan_x2!E53/Tinh_toan_x2!E13^2)*2*Tinh_toan_x2!E13/Tinh_toan_x2!E12*F32</x:f>
        <x:v>33.41578125</x:v>
      </x:c>
      <x:c r="F32" s="4" t="n">
        <x:f>Chu_ky!D7*(Chu_ky!F7+Chu_ky!E7*(Chu_ky!B7*5/10))</x:f>
        <x:v>0.03428571428571429</x:v>
      </x:c>
      <x:c r="G32" s="4" t="n">
        <x:f>Chu_ky!D7*Chu_ky!E7</x:f>
        <x:v>-0.2742857142857143</x:v>
      </x:c>
      <x:c r="H32" s="4" t="str">
        <x:f>Chu_ky!A7</x:f>
        <x:v>Có tải tăng j-</x:v>
      </x:c>
      <x:c r="I32" s="15"/>
      <x:c r="J32" s="15"/>
      <x:c r="K32" s="15"/>
      <x:c r="L32" s="15"/>
      <x:c r="M32" s="15"/>
      <x:c r="N32" s="15"/>
    </x:row>
    <x:row r="33" ht="32" customHeight="1">
      <x:c r="A33" s="3" t="n">
        <x:f>Chu_ky!H7+(Chu_ky!B7*6/10)</x:f>
        <x:v>1.9</x:v>
      </x:c>
      <x:c r="B33" s="4" t="n">
        <x:f>Chu_ky!D7*(Chu_ky!G7+Chu_ky!F7*(Chu_ky!B7*6/10)+0.5*Chu_ky!E7*(Chu_ky!B7*6/10)^2)</x:f>
        <x:v>0.11862857142857144</x:v>
      </x:c>
      <x:c r="C33" s="4" t="n">
        <x:f>Chu_ky!C7*(Chu_ky!D7*Tinh_toan_x2!E14*Tinh_toan_x2!E17+F33)</x:f>
        <x:v>24756.449142857145</x:v>
      </x:c>
      <x:c r="D33" s="4" t="n">
        <x:f>E33*B33*2*Tinh_toan_x2!E13/Tinh_toan_x2!E12</x:f>
        <x:v>3140.4049405714295</x:v>
      </x:c>
      <x:c r="E33" s="4" t="n">
        <x:f>C33*Tinh_toan_x2!E12/(2*Tinh_toan_x2!E15*Tinh_toan_x2!E13)+(Tinh_toan_x2!C48+Tinh_toan_x2!E52+Tinh_toan_x2!E53/Tinh_toan_x2!E13^2)*2*Tinh_toan_x2!E13/Tinh_toan_x2!E12*F33</x:f>
        <x:v>33.090731250000005</x:v>
      </x:c>
      <x:c r="F33" s="4" t="n">
        <x:f>Chu_ky!D7*(Chu_ky!F7+Chu_ky!E7*(Chu_ky!B7*6/10))</x:f>
        <x:v>0.027428571428571434</x:v>
      </x:c>
      <x:c r="G33" s="4" t="n">
        <x:f>Chu_ky!D7*Chu_ky!E7</x:f>
        <x:v>-0.2742857142857143</x:v>
      </x:c>
      <x:c r="H33" s="4" t="str">
        <x:f>Chu_ky!A7</x:f>
        <x:v>Có tải tăng j-</x:v>
      </x:c>
      <x:c r="I33" s="15"/>
      <x:c r="J33" s="15"/>
      <x:c r="K33" s="15"/>
      <x:c r="L33" s="15"/>
      <x:c r="M33" s="15"/>
      <x:c r="N33" s="15"/>
    </x:row>
    <x:row r="34" ht="32" customHeight="1">
      <x:c r="A34" s="3" t="n">
        <x:f>Chu_ky!H7+(Chu_ky!B7*7/10)</x:f>
        <x:v>1.925</x:v>
      </x:c>
      <x:c r="B34" s="4" t="n">
        <x:f>Chu_ky!D7*(Chu_ky!G7+Chu_ky!F7*(Chu_ky!B7*7/10)+0.5*Chu_ky!E7*(Chu_ky!B7*7/10)^2)</x:f>
        <x:v>0.11922857142857145</x:v>
      </x:c>
      <x:c r="C34" s="4" t="n">
        <x:f>Chu_ky!C7*(Chu_ky!D7*Tinh_toan_x2!E14*Tinh_toan_x2!E17+F34)</x:f>
        <x:v>24671.118857142857</x:v>
      </x:c>
      <x:c r="D34" s="4" t="n">
        <x:f>E34*B34*2*Tinh_toan_x2!E13/Tinh_toan_x2!E12</x:f>
        <x:v>3125.2842938571434</x:v>
      </x:c>
      <x:c r="E34" s="4" t="n">
        <x:f>C34*Tinh_toan_x2!E12/(2*Tinh_toan_x2!E15*Tinh_toan_x2!E13)+(Tinh_toan_x2!C48+Tinh_toan_x2!E52+Tinh_toan_x2!E53/Tinh_toan_x2!E13^2)*2*Tinh_toan_x2!E13/Tinh_toan_x2!E12*F34</x:f>
        <x:v>32.76568125</x:v>
      </x:c>
      <x:c r="F34" s="4" t="n">
        <x:f>Chu_ky!D7*(Chu_ky!F7+Chu_ky!E7*(Chu_ky!B7*7/10))</x:f>
        <x:v>0.020571428571428574</x:v>
      </x:c>
      <x:c r="G34" s="4" t="n">
        <x:f>Chu_ky!D7*Chu_ky!E7</x:f>
        <x:v>-0.2742857142857143</x:v>
      </x:c>
      <x:c r="H34" s="4" t="str">
        <x:f>Chu_ky!A7</x:f>
        <x:v>Có tải tăng j-</x:v>
      </x:c>
      <x:c r="I34" s="15"/>
      <x:c r="J34" s="15"/>
      <x:c r="K34" s="15"/>
      <x:c r="L34" s="15"/>
      <x:c r="M34" s="15"/>
      <x:c r="N34" s="15"/>
    </x:row>
    <x:row r="35" ht="32" customHeight="1">
      <x:c r="A35" s="3" t="n">
        <x:f>Chu_ky!H7+(Chu_ky!B7*8/10)</x:f>
        <x:v>1.95</x:v>
      </x:c>
      <x:c r="B35" s="4" t="n">
        <x:f>Chu_ky!D7*(Chu_ky!G7+Chu_ky!F7*(Chu_ky!B7*8/10)+0.5*Chu_ky!E7*(Chu_ky!B7*8/10)^2)</x:f>
        <x:v>0.11965714285714288</x:v>
      </x:c>
      <x:c r="C35" s="4" t="n">
        <x:f>Chu_ky!C7*(Chu_ky!D7*Tinh_toan_x2!E14*Tinh_toan_x2!E17+F35)</x:f>
        <x:v>24585.788571428573</x:v>
      </x:c>
      <x:c r="D35" s="4" t="n">
        <x:f>E35*B35*2*Tinh_toan_x2!E13/Tinh_toan_x2!E12</x:f>
        <x:v>3105.402598285715</x:v>
      </x:c>
      <x:c r="E35" s="4" t="n">
        <x:f>C35*Tinh_toan_x2!E12/(2*Tinh_toan_x2!E15*Tinh_toan_x2!E13)+(Tinh_toan_x2!C48+Tinh_toan_x2!E52+Tinh_toan_x2!E53/Tinh_toan_x2!E13^2)*2*Tinh_toan_x2!E13/Tinh_toan_x2!E12*F35</x:f>
        <x:v>32.44063125</x:v>
      </x:c>
      <x:c r="F35" s="4" t="n">
        <x:f>Chu_ky!D7*(Chu_ky!F7+Chu_ky!E7*(Chu_ky!B7*8/10))</x:f>
        <x:v>0.013714285714285714</x:v>
      </x:c>
      <x:c r="G35" s="4" t="n">
        <x:f>Chu_ky!D7*Chu_ky!E7</x:f>
        <x:v>-0.2742857142857143</x:v>
      </x:c>
      <x:c r="H35" s="4" t="str">
        <x:f>Chu_ky!A7</x:f>
        <x:v>Có tải tăng j-</x:v>
      </x:c>
      <x:c r="I35" s="15"/>
      <x:c r="J35" s="15"/>
      <x:c r="K35" s="15"/>
      <x:c r="L35" s="15"/>
      <x:c r="M35" s="15"/>
      <x:c r="N35" s="15"/>
    </x:row>
    <x:row r="36" ht="32" customHeight="1">
      <x:c r="A36" s="3" t="n">
        <x:f>Chu_ky!H7+(Chu_ky!B7*9/10)</x:f>
        <x:v>1.975</x:v>
      </x:c>
      <x:c r="B36" s="4" t="n">
        <x:f>Chu_ky!D7*(Chu_ky!G7+Chu_ky!F7*(Chu_ky!B7*9/10)+0.5*Chu_ky!E7*(Chu_ky!B7*9/10)^2)</x:f>
        <x:v>0.11991428571428575</x:v>
      </x:c>
      <x:c r="C36" s="4" t="n">
        <x:f>Chu_ky!C7*(Chu_ky!D7*Tinh_toan_x2!E14*Tinh_toan_x2!E17+F36)</x:f>
        <x:v>24500.45828571429</x:v>
      </x:c>
      <x:c r="D36" s="4" t="n">
        <x:f>E36*B36*2*Tinh_toan_x2!E13/Tinh_toan_x2!E12</x:f>
        <x:v>3080.8935887142875</x:v>
      </x:c>
      <x:c r="E36" s="4" t="n">
        <x:f>C36*Tinh_toan_x2!E12/(2*Tinh_toan_x2!E15*Tinh_toan_x2!E13)+(Tinh_toan_x2!C48+Tinh_toan_x2!E52+Tinh_toan_x2!E53/Tinh_toan_x2!E13^2)*2*Tinh_toan_x2!E13/Tinh_toan_x2!E12*F36</x:f>
        <x:v>32.115581250000005</x:v>
      </x:c>
      <x:c r="F36" s="4" t="n">
        <x:f>Chu_ky!D7*(Chu_ky!F7+Chu_ky!E7*(Chu_ky!B7*9/10))</x:f>
        <x:v>0.006857142857142853</x:v>
      </x:c>
      <x:c r="G36" s="4" t="n">
        <x:f>Chu_ky!D7*Chu_ky!E7</x:f>
        <x:v>-0.2742857142857143</x:v>
      </x:c>
      <x:c r="H36" s="4" t="str">
        <x:f>Chu_ky!A7</x:f>
        <x:v>Có tải tăng j-</x:v>
      </x:c>
      <x:c r="I36" s="15"/>
      <x:c r="J36" s="15"/>
      <x:c r="K36" s="15"/>
      <x:c r="L36" s="15"/>
      <x:c r="M36" s="15"/>
      <x:c r="N36" s="15"/>
    </x:row>
    <x:row r="37" ht="32" customHeight="1">
      <x:c r="A37" s="3" t="n">
        <x:f>Chu_ky!H7+(Chu_ky!B7*10/10)</x:f>
        <x:v>2</x:v>
      </x:c>
      <x:c r="B37" s="4" t="n">
        <x:f>Chu_ky!D7*(Chu_ky!G7+Chu_ky!F7*(Chu_ky!B7*10/10)+0.5*Chu_ky!E7*(Chu_ky!B7*10/10)^2)</x:f>
        <x:v>0.12000000000000001</x:v>
      </x:c>
      <x:c r="C37" s="4" t="n">
        <x:f>Chu_ky!C7*(Chu_ky!D7*Tinh_toan_x2!E14*Tinh_toan_x2!E17+F37)</x:f>
        <x:v>24415.128</x:v>
      </x:c>
      <x:c r="D37" s="4" t="n">
        <x:f>E37*B37*2*Tinh_toan_x2!E13/Tinh_toan_x2!E12</x:f>
        <x:v>3051.891</x:v>
      </x:c>
      <x:c r="E37" s="4" t="n">
        <x:f>C37*Tinh_toan_x2!E12/(2*Tinh_toan_x2!E15*Tinh_toan_x2!E13)+(Tinh_toan_x2!C48+Tinh_toan_x2!E52+Tinh_toan_x2!E53/Tinh_toan_x2!E13^2)*2*Tinh_toan_x2!E13/Tinh_toan_x2!E12*F37</x:f>
        <x:v>31.79053125</x:v>
      </x:c>
      <x:c r="F37" s="4" t="n">
        <x:f>Chu_ky!D7*(Chu_ky!F7+Chu_ky!E7*(Chu_ky!B7*10/10))</x:f>
        <x:v>0</x:v>
      </x:c>
      <x:c r="G37" s="4" t="n">
        <x:f>Chu_ky!D7*Chu_ky!E7</x:f>
        <x:v>-0.2742857142857143</x:v>
      </x:c>
      <x:c r="H37" s="4" t="str">
        <x:f>Chu_ky!A7</x:f>
        <x:v>Có tải tăng j-</x:v>
      </x:c>
      <x:c r="I37" s="15"/>
      <x:c r="J37" s="15"/>
      <x:c r="K37" s="15"/>
      <x:c r="L37" s="15"/>
      <x:c r="M37" s="15"/>
      <x:c r="N37" s="15"/>
    </x:row>
    <x:row r="38" ht="32" customHeight="1">
      <x:c r="A38" s="3" t="n">
        <x:f>Chu_ky!H8+(Chu_ky!B8*0/10)</x:f>
        <x:v>2</x:v>
      </x:c>
      <x:c r="B38" s="4" t="n">
        <x:f>Chu_ky!D8*(Chu_ky!G8+Chu_ky!F8*(Chu_ky!B8*0/10)+0.5*Chu_ky!E8*(Chu_ky!B8*0/10)^2)</x:f>
        <x:v>0.12000000000000001</x:v>
      </x:c>
      <x:c r="C38" s="4" t="n">
        <x:f>Chu_ky!C8*(Chu_ky!D8*Tinh_toan_x2!E14*Tinh_toan_x2!E17+F38)</x:f>
        <x:v>24415.128</x:v>
      </x:c>
      <x:c r="D38" s="4" t="n">
        <x:f>E38*B38*2*Tinh_toan_x2!E13/Tinh_toan_x2!E12</x:f>
        <x:v>3051.891</x:v>
      </x:c>
      <x:c r="E38" s="4" t="n">
        <x:f>C38*Tinh_toan_x2!E12/(2*Tinh_toan_x2!E15*Tinh_toan_x2!E13)+(Tinh_toan_x2!C48+Tinh_toan_x2!E52+Tinh_toan_x2!E53/Tinh_toan_x2!E13^2)*2*Tinh_toan_x2!E13/Tinh_toan_x2!E12*F38</x:f>
        <x:v>31.79053125</x:v>
      </x:c>
      <x:c r="F38" s="4" t="n">
        <x:f>Chu_ky!D8*(Chu_ky!F8+Chu_ky!E8*(Chu_ky!B8*0/10))</x:f>
        <x:v>0</x:v>
      </x:c>
      <x:c r="G38" s="4" t="n">
        <x:f>Chu_ky!D8*Chu_ky!E8</x:f>
        <x:v>0</x:v>
      </x:c>
      <x:c r="H38" s="4" t="str">
        <x:f>Chu_ky!A8</x:f>
        <x:v>Có tải đều</x:v>
      </x:c>
      <x:c r="I38" s="15"/>
      <x:c r="J38" s="15"/>
      <x:c r="K38" s="15"/>
      <x:c r="L38" s="15"/>
      <x:c r="M38" s="15"/>
      <x:c r="N38" s="15"/>
    </x:row>
    <x:row r="39" ht="32" customHeight="1">
      <x:c r="A39" s="3" t="n">
        <x:f>Chu_ky!H8+(Chu_ky!B8*1/10)</x:f>
        <x:v>10</x:v>
      </x:c>
      <x:c r="B39" s="4" t="n">
        <x:f>Chu_ky!D8*(Chu_ky!G8+Chu_ky!F8*(Chu_ky!B8*1/10)+0.5*Chu_ky!E8*(Chu_ky!B8*1/10)^2)</x:f>
        <x:v>0.12000000000000001</x:v>
      </x:c>
      <x:c r="C39" s="4" t="n">
        <x:f>Chu_ky!C8*(Chu_ky!D8*Tinh_toan_x2!E14*Tinh_toan_x2!E17+F39)</x:f>
        <x:v>24415.128</x:v>
      </x:c>
      <x:c r="D39" s="4" t="n">
        <x:f>E39*B39*2*Tinh_toan_x2!E13/Tinh_toan_x2!E12</x:f>
        <x:v>3051.891</x:v>
      </x:c>
      <x:c r="E39" s="4" t="n">
        <x:f>C39*Tinh_toan_x2!E12/(2*Tinh_toan_x2!E15*Tinh_toan_x2!E13)+(Tinh_toan_x2!C48+Tinh_toan_x2!E52+Tinh_toan_x2!E53/Tinh_toan_x2!E13^2)*2*Tinh_toan_x2!E13/Tinh_toan_x2!E12*F39</x:f>
        <x:v>31.79053125</x:v>
      </x:c>
      <x:c r="F39" s="4" t="n">
        <x:f>Chu_ky!D8*(Chu_ky!F8+Chu_ky!E8*(Chu_ky!B8*1/10))</x:f>
        <x:v>0</x:v>
      </x:c>
      <x:c r="G39" s="4" t="n">
        <x:f>Chu_ky!D8*Chu_ky!E8</x:f>
        <x:v>0</x:v>
      </x:c>
      <x:c r="H39" s="4" t="str">
        <x:f>Chu_ky!A8</x:f>
        <x:v>Có tải đều</x:v>
      </x:c>
      <x:c r="I39" s="15"/>
      <x:c r="J39" s="15"/>
      <x:c r="K39" s="15"/>
      <x:c r="L39" s="15"/>
      <x:c r="M39" s="15"/>
      <x:c r="N39" s="15"/>
    </x:row>
    <x:row r="40" ht="32" customHeight="1">
      <x:c r="A40" s="3" t="n">
        <x:f>Chu_ky!H8+(Chu_ky!B8*2/10)</x:f>
        <x:v>18</x:v>
      </x:c>
      <x:c r="B40" s="4" t="n">
        <x:f>Chu_ky!D8*(Chu_ky!G8+Chu_ky!F8*(Chu_ky!B8*2/10)+0.5*Chu_ky!E8*(Chu_ky!B8*2/10)^2)</x:f>
        <x:v>0.12000000000000001</x:v>
      </x:c>
      <x:c r="C40" s="4" t="n">
        <x:f>Chu_ky!C8*(Chu_ky!D8*Tinh_toan_x2!E14*Tinh_toan_x2!E17+F40)</x:f>
        <x:v>24415.128</x:v>
      </x:c>
      <x:c r="D40" s="4" t="n">
        <x:f>E40*B40*2*Tinh_toan_x2!E13/Tinh_toan_x2!E12</x:f>
        <x:v>3051.891</x:v>
      </x:c>
      <x:c r="E40" s="4" t="n">
        <x:f>C40*Tinh_toan_x2!E12/(2*Tinh_toan_x2!E15*Tinh_toan_x2!E13)+(Tinh_toan_x2!C48+Tinh_toan_x2!E52+Tinh_toan_x2!E53/Tinh_toan_x2!E13^2)*2*Tinh_toan_x2!E13/Tinh_toan_x2!E12*F40</x:f>
        <x:v>31.79053125</x:v>
      </x:c>
      <x:c r="F40" s="4" t="n">
        <x:f>Chu_ky!D8*(Chu_ky!F8+Chu_ky!E8*(Chu_ky!B8*2/10))</x:f>
        <x:v>0</x:v>
      </x:c>
      <x:c r="G40" s="4" t="n">
        <x:f>Chu_ky!D8*Chu_ky!E8</x:f>
        <x:v>0</x:v>
      </x:c>
      <x:c r="H40" s="4" t="str">
        <x:f>Chu_ky!A8</x:f>
        <x:v>Có tải đều</x:v>
      </x:c>
      <x:c r="I40" s="15"/>
      <x:c r="J40" s="15"/>
      <x:c r="K40" s="15"/>
      <x:c r="L40" s="15"/>
      <x:c r="M40" s="15"/>
      <x:c r="N40" s="15"/>
    </x:row>
    <x:row r="41" ht="32" customHeight="1">
      <x:c r="A41" s="3" t="n">
        <x:f>Chu_ky!H8+(Chu_ky!B8*3/10)</x:f>
        <x:v>26</x:v>
      </x:c>
      <x:c r="B41" s="4" t="n">
        <x:f>Chu_ky!D8*(Chu_ky!G8+Chu_ky!F8*(Chu_ky!B8*3/10)+0.5*Chu_ky!E8*(Chu_ky!B8*3/10)^2)</x:f>
        <x:v>0.12000000000000001</x:v>
      </x:c>
      <x:c r="C41" s="4" t="n">
        <x:f>Chu_ky!C8*(Chu_ky!D8*Tinh_toan_x2!E14*Tinh_toan_x2!E17+F41)</x:f>
        <x:v>24415.128</x:v>
      </x:c>
      <x:c r="D41" s="4" t="n">
        <x:f>E41*B41*2*Tinh_toan_x2!E13/Tinh_toan_x2!E12</x:f>
        <x:v>3051.891</x:v>
      </x:c>
      <x:c r="E41" s="4" t="n">
        <x:f>C41*Tinh_toan_x2!E12/(2*Tinh_toan_x2!E15*Tinh_toan_x2!E13)+(Tinh_toan_x2!C48+Tinh_toan_x2!E52+Tinh_toan_x2!E53/Tinh_toan_x2!E13^2)*2*Tinh_toan_x2!E13/Tinh_toan_x2!E12*F41</x:f>
        <x:v>31.79053125</x:v>
      </x:c>
      <x:c r="F41" s="4" t="n">
        <x:f>Chu_ky!D8*(Chu_ky!F8+Chu_ky!E8*(Chu_ky!B8*3/10))</x:f>
        <x:v>0</x:v>
      </x:c>
      <x:c r="G41" s="4" t="n">
        <x:f>Chu_ky!D8*Chu_ky!E8</x:f>
        <x:v>0</x:v>
      </x:c>
      <x:c r="H41" s="4" t="str">
        <x:f>Chu_ky!A8</x:f>
        <x:v>Có tải đều</x:v>
      </x:c>
      <x:c r="I41" s="15"/>
      <x:c r="J41" s="15"/>
      <x:c r="K41" s="15"/>
      <x:c r="L41" s="15"/>
      <x:c r="M41" s="15"/>
      <x:c r="N41" s="15"/>
    </x:row>
    <x:row r="42" ht="32" customHeight="1">
      <x:c r="A42" s="3" t="n">
        <x:f>Chu_ky!H8+(Chu_ky!B8*4/10)</x:f>
        <x:v>34</x:v>
      </x:c>
      <x:c r="B42" s="4" t="n">
        <x:f>Chu_ky!D8*(Chu_ky!G8+Chu_ky!F8*(Chu_ky!B8*4/10)+0.5*Chu_ky!E8*(Chu_ky!B8*4/10)^2)</x:f>
        <x:v>0.12000000000000001</x:v>
      </x:c>
      <x:c r="C42" s="4" t="n">
        <x:f>Chu_ky!C8*(Chu_ky!D8*Tinh_toan_x2!E14*Tinh_toan_x2!E17+F42)</x:f>
        <x:v>24415.128</x:v>
      </x:c>
      <x:c r="D42" s="4" t="n">
        <x:f>E42*B42*2*Tinh_toan_x2!E13/Tinh_toan_x2!E12</x:f>
        <x:v>3051.891</x:v>
      </x:c>
      <x:c r="E42" s="4" t="n">
        <x:f>C42*Tinh_toan_x2!E12/(2*Tinh_toan_x2!E15*Tinh_toan_x2!E13)+(Tinh_toan_x2!C48+Tinh_toan_x2!E52+Tinh_toan_x2!E53/Tinh_toan_x2!E13^2)*2*Tinh_toan_x2!E13/Tinh_toan_x2!E12*F42</x:f>
        <x:v>31.79053125</x:v>
      </x:c>
      <x:c r="F42" s="4" t="n">
        <x:f>Chu_ky!D8*(Chu_ky!F8+Chu_ky!E8*(Chu_ky!B8*4/10))</x:f>
        <x:v>0</x:v>
      </x:c>
      <x:c r="G42" s="4" t="n">
        <x:f>Chu_ky!D8*Chu_ky!E8</x:f>
        <x:v>0</x:v>
      </x:c>
      <x:c r="H42" s="4" t="str">
        <x:f>Chu_ky!A8</x:f>
        <x:v>Có tải đều</x:v>
      </x:c>
      <x:c r="I42" s="15"/>
      <x:c r="J42" s="15"/>
      <x:c r="K42" s="15"/>
      <x:c r="L42" s="15"/>
      <x:c r="M42" s="15"/>
      <x:c r="N42" s="15"/>
    </x:row>
    <x:row r="43" ht="32" customHeight="1">
      <x:c r="A43" s="3" t="n">
        <x:f>Chu_ky!H8+(Chu_ky!B8*5/10)</x:f>
        <x:v>42</x:v>
      </x:c>
      <x:c r="B43" s="4" t="n">
        <x:f>Chu_ky!D8*(Chu_ky!G8+Chu_ky!F8*(Chu_ky!B8*5/10)+0.5*Chu_ky!E8*(Chu_ky!B8*5/10)^2)</x:f>
        <x:v>0.12000000000000001</x:v>
      </x:c>
      <x:c r="C43" s="4" t="n">
        <x:f>Chu_ky!C8*(Chu_ky!D8*Tinh_toan_x2!E14*Tinh_toan_x2!E17+F43)</x:f>
        <x:v>24415.128</x:v>
      </x:c>
      <x:c r="D43" s="4" t="n">
        <x:f>E43*B43*2*Tinh_toan_x2!E13/Tinh_toan_x2!E12</x:f>
        <x:v>3051.891</x:v>
      </x:c>
      <x:c r="E43" s="4" t="n">
        <x:f>C43*Tinh_toan_x2!E12/(2*Tinh_toan_x2!E15*Tinh_toan_x2!E13)+(Tinh_toan_x2!C48+Tinh_toan_x2!E52+Tinh_toan_x2!E53/Tinh_toan_x2!E13^2)*2*Tinh_toan_x2!E13/Tinh_toan_x2!E12*F43</x:f>
        <x:v>31.79053125</x:v>
      </x:c>
      <x:c r="F43" s="4" t="n">
        <x:f>Chu_ky!D8*(Chu_ky!F8+Chu_ky!E8*(Chu_ky!B8*5/10))</x:f>
        <x:v>0</x:v>
      </x:c>
      <x:c r="G43" s="4" t="n">
        <x:f>Chu_ky!D8*Chu_ky!E8</x:f>
        <x:v>0</x:v>
      </x:c>
      <x:c r="H43" s="4" t="str">
        <x:f>Chu_ky!A8</x:f>
        <x:v>Có tải đều</x:v>
      </x:c>
      <x:c r="I43" s="15"/>
      <x:c r="J43" s="15"/>
      <x:c r="K43" s="15"/>
      <x:c r="L43" s="15"/>
      <x:c r="M43" s="15"/>
      <x:c r="N43" s="15"/>
    </x:row>
    <x:row r="44" ht="32" customHeight="1">
      <x:c r="A44" s="3" t="n">
        <x:f>Chu_ky!H8+(Chu_ky!B8*6/10)</x:f>
        <x:v>50</x:v>
      </x:c>
      <x:c r="B44" s="4" t="n">
        <x:f>Chu_ky!D8*(Chu_ky!G8+Chu_ky!F8*(Chu_ky!B8*6/10)+0.5*Chu_ky!E8*(Chu_ky!B8*6/10)^2)</x:f>
        <x:v>0.12000000000000001</x:v>
      </x:c>
      <x:c r="C44" s="4" t="n">
        <x:f>Chu_ky!C8*(Chu_ky!D8*Tinh_toan_x2!E14*Tinh_toan_x2!E17+F44)</x:f>
        <x:v>24415.128</x:v>
      </x:c>
      <x:c r="D44" s="4" t="n">
        <x:f>E44*B44*2*Tinh_toan_x2!E13/Tinh_toan_x2!E12</x:f>
        <x:v>3051.891</x:v>
      </x:c>
      <x:c r="E44" s="4" t="n">
        <x:f>C44*Tinh_toan_x2!E12/(2*Tinh_toan_x2!E15*Tinh_toan_x2!E13)+(Tinh_toan_x2!C48+Tinh_toan_x2!E52+Tinh_toan_x2!E53/Tinh_toan_x2!E13^2)*2*Tinh_toan_x2!E13/Tinh_toan_x2!E12*F44</x:f>
        <x:v>31.79053125</x:v>
      </x:c>
      <x:c r="F44" s="4" t="n">
        <x:f>Chu_ky!D8*(Chu_ky!F8+Chu_ky!E8*(Chu_ky!B8*6/10))</x:f>
        <x:v>0</x:v>
      </x:c>
      <x:c r="G44" s="4" t="n">
        <x:f>Chu_ky!D8*Chu_ky!E8</x:f>
        <x:v>0</x:v>
      </x:c>
      <x:c r="H44" s="4" t="str">
        <x:f>Chu_ky!A8</x:f>
        <x:v>Có tải đều</x:v>
      </x:c>
      <x:c r="I44" s="15"/>
      <x:c r="J44" s="15"/>
      <x:c r="K44" s="15"/>
      <x:c r="L44" s="15"/>
      <x:c r="M44" s="15"/>
      <x:c r="N44" s="15"/>
    </x:row>
    <x:row r="45" ht="32" customHeight="1">
      <x:c r="A45" s="3" t="n">
        <x:f>Chu_ky!H8+(Chu_ky!B8*7/10)</x:f>
        <x:v>58</x:v>
      </x:c>
      <x:c r="B45" s="4" t="n">
        <x:f>Chu_ky!D8*(Chu_ky!G8+Chu_ky!F8*(Chu_ky!B8*7/10)+0.5*Chu_ky!E8*(Chu_ky!B8*7/10)^2)</x:f>
        <x:v>0.12000000000000001</x:v>
      </x:c>
      <x:c r="C45" s="4" t="n">
        <x:f>Chu_ky!C8*(Chu_ky!D8*Tinh_toan_x2!E14*Tinh_toan_x2!E17+F45)</x:f>
        <x:v>24415.128</x:v>
      </x:c>
      <x:c r="D45" s="4" t="n">
        <x:f>E45*B45*2*Tinh_toan_x2!E13/Tinh_toan_x2!E12</x:f>
        <x:v>3051.891</x:v>
      </x:c>
      <x:c r="E45" s="4" t="n">
        <x:f>C45*Tinh_toan_x2!E12/(2*Tinh_toan_x2!E15*Tinh_toan_x2!E13)+(Tinh_toan_x2!C48+Tinh_toan_x2!E52+Tinh_toan_x2!E53/Tinh_toan_x2!E13^2)*2*Tinh_toan_x2!E13/Tinh_toan_x2!E12*F45</x:f>
        <x:v>31.79053125</x:v>
      </x:c>
      <x:c r="F45" s="4" t="n">
        <x:f>Chu_ky!D8*(Chu_ky!F8+Chu_ky!E8*(Chu_ky!B8*7/10))</x:f>
        <x:v>0</x:v>
      </x:c>
      <x:c r="G45" s="4" t="n">
        <x:f>Chu_ky!D8*Chu_ky!E8</x:f>
        <x:v>0</x:v>
      </x:c>
      <x:c r="H45" s="4" t="str">
        <x:f>Chu_ky!A8</x:f>
        <x:v>Có tải đều</x:v>
      </x:c>
      <x:c r="I45" s="15"/>
      <x:c r="J45" s="15"/>
      <x:c r="K45" s="15"/>
      <x:c r="L45" s="15"/>
      <x:c r="M45" s="15"/>
      <x:c r="N45" s="15"/>
    </x:row>
    <x:row r="46" ht="32" customHeight="1">
      <x:c r="A46" s="3" t="n">
        <x:f>Chu_ky!H8+(Chu_ky!B8*8/10)</x:f>
        <x:v>66</x:v>
      </x:c>
      <x:c r="B46" s="4" t="n">
        <x:f>Chu_ky!D8*(Chu_ky!G8+Chu_ky!F8*(Chu_ky!B8*8/10)+0.5*Chu_ky!E8*(Chu_ky!B8*8/10)^2)</x:f>
        <x:v>0.12000000000000001</x:v>
      </x:c>
      <x:c r="C46" s="4" t="n">
        <x:f>Chu_ky!C8*(Chu_ky!D8*Tinh_toan_x2!E14*Tinh_toan_x2!E17+F46)</x:f>
        <x:v>24415.128</x:v>
      </x:c>
      <x:c r="D46" s="4" t="n">
        <x:f>E46*B46*2*Tinh_toan_x2!E13/Tinh_toan_x2!E12</x:f>
        <x:v>3051.891</x:v>
      </x:c>
      <x:c r="E46" s="4" t="n">
        <x:f>C46*Tinh_toan_x2!E12/(2*Tinh_toan_x2!E15*Tinh_toan_x2!E13)+(Tinh_toan_x2!C48+Tinh_toan_x2!E52+Tinh_toan_x2!E53/Tinh_toan_x2!E13^2)*2*Tinh_toan_x2!E13/Tinh_toan_x2!E12*F46</x:f>
        <x:v>31.79053125</x:v>
      </x:c>
      <x:c r="F46" s="4" t="n">
        <x:f>Chu_ky!D8*(Chu_ky!F8+Chu_ky!E8*(Chu_ky!B8*8/10))</x:f>
        <x:v>0</x:v>
      </x:c>
      <x:c r="G46" s="4" t="n">
        <x:f>Chu_ky!D8*Chu_ky!E8</x:f>
        <x:v>0</x:v>
      </x:c>
      <x:c r="H46" s="4" t="str">
        <x:f>Chu_ky!A8</x:f>
        <x:v>Có tải đều</x:v>
      </x:c>
      <x:c r="I46" s="15"/>
      <x:c r="J46" s="15"/>
      <x:c r="K46" s="15"/>
      <x:c r="L46" s="15"/>
      <x:c r="M46" s="15"/>
      <x:c r="N46" s="15"/>
    </x:row>
    <x:row r="47" ht="32" customHeight="1">
      <x:c r="A47" s="3" t="n">
        <x:f>Chu_ky!H8+(Chu_ky!B8*9/10)</x:f>
        <x:v>74</x:v>
      </x:c>
      <x:c r="B47" s="4" t="n">
        <x:f>Chu_ky!D8*(Chu_ky!G8+Chu_ky!F8*(Chu_ky!B8*9/10)+0.5*Chu_ky!E8*(Chu_ky!B8*9/10)^2)</x:f>
        <x:v>0.12000000000000001</x:v>
      </x:c>
      <x:c r="C47" s="4" t="n">
        <x:f>Chu_ky!C8*(Chu_ky!D8*Tinh_toan_x2!E14*Tinh_toan_x2!E17+F47)</x:f>
        <x:v>24415.128</x:v>
      </x:c>
      <x:c r="D47" s="4" t="n">
        <x:f>E47*B47*2*Tinh_toan_x2!E13/Tinh_toan_x2!E12</x:f>
        <x:v>3051.891</x:v>
      </x:c>
      <x:c r="E47" s="4" t="n">
        <x:f>C47*Tinh_toan_x2!E12/(2*Tinh_toan_x2!E15*Tinh_toan_x2!E13)+(Tinh_toan_x2!C48+Tinh_toan_x2!E52+Tinh_toan_x2!E53/Tinh_toan_x2!E13^2)*2*Tinh_toan_x2!E13/Tinh_toan_x2!E12*F47</x:f>
        <x:v>31.79053125</x:v>
      </x:c>
      <x:c r="F47" s="4" t="n">
        <x:f>Chu_ky!D8*(Chu_ky!F8+Chu_ky!E8*(Chu_ky!B8*9/10))</x:f>
        <x:v>0</x:v>
      </x:c>
      <x:c r="G47" s="4" t="n">
        <x:f>Chu_ky!D8*Chu_ky!E8</x:f>
        <x:v>0</x:v>
      </x:c>
      <x:c r="H47" s="4" t="str">
        <x:f>Chu_ky!A8</x:f>
        <x:v>Có tải đều</x:v>
      </x:c>
      <x:c r="I47" s="15"/>
      <x:c r="J47" s="15"/>
      <x:c r="K47" s="15"/>
      <x:c r="L47" s="15"/>
      <x:c r="M47" s="15"/>
      <x:c r="N47" s="15"/>
    </x:row>
    <x:row r="48" ht="32" customHeight="1">
      <x:c r="A48" s="3" t="n">
        <x:f>Chu_ky!H8+(Chu_ky!B8*10/10)</x:f>
        <x:v>82</x:v>
      </x:c>
      <x:c r="B48" s="4" t="n">
        <x:f>Chu_ky!D8*(Chu_ky!G8+Chu_ky!F8*(Chu_ky!B8*10/10)+0.5*Chu_ky!E8*(Chu_ky!B8*10/10)^2)</x:f>
        <x:v>0.12000000000000001</x:v>
      </x:c>
      <x:c r="C48" s="4" t="n">
        <x:f>Chu_ky!C8*(Chu_ky!D8*Tinh_toan_x2!E14*Tinh_toan_x2!E17+F48)</x:f>
        <x:v>24415.128</x:v>
      </x:c>
      <x:c r="D48" s="4" t="n">
        <x:f>E48*B48*2*Tinh_toan_x2!E13/Tinh_toan_x2!E12</x:f>
        <x:v>3051.891</x:v>
      </x:c>
      <x:c r="E48" s="4" t="n">
        <x:f>C48*Tinh_toan_x2!E12/(2*Tinh_toan_x2!E15*Tinh_toan_x2!E13)+(Tinh_toan_x2!C48+Tinh_toan_x2!E52+Tinh_toan_x2!E53/Tinh_toan_x2!E13^2)*2*Tinh_toan_x2!E13/Tinh_toan_x2!E12*F48</x:f>
        <x:v>31.79053125</x:v>
      </x:c>
      <x:c r="F48" s="4" t="n">
        <x:f>Chu_ky!D8*(Chu_ky!F8+Chu_ky!E8*(Chu_ky!B8*10/10))</x:f>
        <x:v>0</x:v>
      </x:c>
      <x:c r="G48" s="4" t="n">
        <x:f>Chu_ky!D8*Chu_ky!E8</x:f>
        <x:v>0</x:v>
      </x:c>
      <x:c r="H48" s="4" t="str">
        <x:f>Chu_ky!A8</x:f>
        <x:v>Có tải đều</x:v>
      </x:c>
      <x:c r="I48" s="15"/>
      <x:c r="J48" s="15"/>
      <x:c r="K48" s="15"/>
      <x:c r="L48" s="15"/>
      <x:c r="M48" s="15"/>
      <x:c r="N48" s="15"/>
    </x:row>
    <x:row r="49" ht="32" customHeight="1">
      <x:c r="A49" s="3" t="n">
        <x:f>Chu_ky!H9+(Chu_ky!B9*0/10)</x:f>
        <x:v>82</x:v>
      </x:c>
      <x:c r="B49" s="4" t="n">
        <x:f>Chu_ky!D9*(Chu_ky!G9+Chu_ky!F9*(Chu_ky!B9*0/10)+0.5*Chu_ky!E9*(Chu_ky!B9*0/10)^2)</x:f>
        <x:v>0.12000000000000001</x:v>
      </x:c>
      <x:c r="C49" s="4" t="n">
        <x:f>Chu_ky!C9*(Chu_ky!D9*Tinh_toan_x2!E14*Tinh_toan_x2!E17+F49)</x:f>
        <x:v>24415.128</x:v>
      </x:c>
      <x:c r="D49" s="4" t="n">
        <x:f>E49*B49*2*Tinh_toan_x2!E13/Tinh_toan_x2!E12</x:f>
        <x:v>3051.891</x:v>
      </x:c>
      <x:c r="E49" s="4" t="n">
        <x:f>C49*Tinh_toan_x2!E12/(2*Tinh_toan_x2!E15*Tinh_toan_x2!E13)+(Tinh_toan_x2!C48+Tinh_toan_x2!E52+Tinh_toan_x2!E53/Tinh_toan_x2!E13^2)*2*Tinh_toan_x2!E13/Tinh_toan_x2!E12*F49</x:f>
        <x:v>31.79053125</x:v>
      </x:c>
      <x:c r="F49" s="4" t="n">
        <x:f>Chu_ky!D9*(Chu_ky!F9+Chu_ky!E9*(Chu_ky!B9*0/10))</x:f>
        <x:v>0</x:v>
      </x:c>
      <x:c r="G49" s="4" t="n">
        <x:f>Chu_ky!D9*Chu_ky!E9</x:f>
        <x:v>-0.04923076923076924</x:v>
      </x:c>
      <x:c r="H49" s="4" t="str">
        <x:f>Chu_ky!A9</x:f>
        <x:v>Có tải giảm j-</x:v>
      </x:c>
      <x:c r="I49" s="15"/>
      <x:c r="J49" s="15"/>
      <x:c r="K49" s="15"/>
      <x:c r="L49" s="15"/>
      <x:c r="M49" s="15"/>
      <x:c r="N49" s="15"/>
    </x:row>
    <x:row r="50" ht="32" customHeight="1">
      <x:c r="A50" s="3" t="n">
        <x:f>Chu_ky!H9+(Chu_ky!B9*1/10)</x:f>
        <x:v>82.025</x:v>
      </x:c>
      <x:c r="B50" s="4" t="n">
        <x:f>Chu_ky!D9*(Chu_ky!G9+Chu_ky!F9*(Chu_ky!B9*1/10)+0.5*Chu_ky!E9*(Chu_ky!B9*1/10)^2)</x:f>
        <x:v>0.1199846153846154</x:v>
      </x:c>
      <x:c r="C50" s="4" t="n">
        <x:f>Chu_ky!C9*(Chu_ky!D9*Tinh_toan_x2!E14*Tinh_toan_x2!E17+F50)</x:f>
        <x:v>24399.81230769231</x:v>
      </x:c>
      <x:c r="D50" s="4" t="n">
        <x:f>E50*B50*2*Tinh_toan_x2!E13/Tinh_toan_x2!E12</x:f>
        <x:v>3045.8995884437877</x:v>
      </x:c>
      <x:c r="E50" s="4" t="n">
        <x:f>C50*Tinh_toan_x2!E12/(2*Tinh_toan_x2!E15*Tinh_toan_x2!E13)+(Tinh_toan_x2!C48+Tinh_toan_x2!E52+Tinh_toan_x2!E53/Tinh_toan_x2!E13^2)*2*Tinh_toan_x2!E13/Tinh_toan_x2!E12*F50</x:f>
        <x:v>31.732188942307697</x:v>
      </x:c>
      <x:c r="F50" s="4" t="n">
        <x:f>Chu_ky!D9*(Chu_ky!F9+Chu_ky!E9*(Chu_ky!B9*1/10))</x:f>
        <x:v>-0.001230769230769231</x:v>
      </x:c>
      <x:c r="G50" s="4" t="n">
        <x:f>Chu_ky!D9*Chu_ky!E9</x:f>
        <x:v>-0.04923076923076924</x:v>
      </x:c>
      <x:c r="H50" s="4" t="str">
        <x:f>Chu_ky!A9</x:f>
        <x:v>Có tải giảm j-</x:v>
      </x:c>
      <x:c r="I50" s="15"/>
      <x:c r="J50" s="15"/>
      <x:c r="K50" s="15"/>
      <x:c r="L50" s="15"/>
      <x:c r="M50" s="15"/>
      <x:c r="N50" s="15"/>
    </x:row>
    <x:row r="51" ht="32" customHeight="1">
      <x:c r="A51" s="3" t="n">
        <x:f>Chu_ky!H9+(Chu_ky!B9*2/10)</x:f>
        <x:v>82.05</x:v>
      </x:c>
      <x:c r="B51" s="4" t="n">
        <x:f>Chu_ky!D9*(Chu_ky!G9+Chu_ky!F9*(Chu_ky!B9*2/10)+0.5*Chu_ky!E9*(Chu_ky!B9*2/10)^2)</x:f>
        <x:v>0.11993846153846155</x:v>
      </x:c>
      <x:c r="C51" s="4" t="n">
        <x:f>Chu_ky!C9*(Chu_ky!D9*Tinh_toan_x2!E14*Tinh_toan_x2!E17+F51)</x:f>
        <x:v>24384.496615384618</x:v>
      </x:c>
      <x:c r="D51" s="4" t="n">
        <x:f>E51*B51*2*Tinh_toan_x2!E13/Tinh_toan_x2!E12</x:f>
        <x:v>3039.129949088758</x:v>
      </x:c>
      <x:c r="E51" s="4" t="n">
        <x:f>C51*Tinh_toan_x2!E12/(2*Tinh_toan_x2!E15*Tinh_toan_x2!E13)+(Tinh_toan_x2!C48+Tinh_toan_x2!E52+Tinh_toan_x2!E53/Tinh_toan_x2!E13^2)*2*Tinh_toan_x2!E13/Tinh_toan_x2!E12*F51</x:f>
        <x:v>31.67384663461539</x:v>
      </x:c>
      <x:c r="F51" s="4" t="n">
        <x:f>Chu_ky!D9*(Chu_ky!F9+Chu_ky!E9*(Chu_ky!B9*2/10))</x:f>
        <x:v>-0.002461538461538462</x:v>
      </x:c>
      <x:c r="G51" s="4" t="n">
        <x:f>Chu_ky!D9*Chu_ky!E9</x:f>
        <x:v>-0.04923076923076924</x:v>
      </x:c>
      <x:c r="H51" s="4" t="str">
        <x:f>Chu_ky!A9</x:f>
        <x:v>Có tải giảm j-</x:v>
      </x:c>
      <x:c r="I51" s="15"/>
      <x:c r="J51" s="15"/>
      <x:c r="K51" s="15"/>
      <x:c r="L51" s="15"/>
      <x:c r="M51" s="15"/>
      <x:c r="N51" s="15"/>
    </x:row>
    <x:row r="52" ht="32" customHeight="1">
      <x:c r="A52" s="3" t="n">
        <x:f>Chu_ky!H9+(Chu_ky!B9*3/10)</x:f>
        <x:v>82.075</x:v>
      </x:c>
      <x:c r="B52" s="4" t="n">
        <x:f>Chu_ky!D9*(Chu_ky!G9+Chu_ky!F9*(Chu_ky!B9*3/10)+0.5*Chu_ky!E9*(Chu_ky!B9*3/10)^2)</x:f>
        <x:v>0.11986153846153848</x:v>
      </x:c>
      <x:c r="C52" s="4" t="n">
        <x:f>Chu_ky!C9*(Chu_ky!D9*Tinh_toan_x2!E14*Tinh_toan_x2!E17+F52)</x:f>
        <x:v>24369.180923076925</x:v>
      </x:c>
      <x:c r="D52" s="4" t="n">
        <x:f>E52*B52*2*Tinh_toan_x2!E13/Tinh_toan_x2!E12</x:f>
        <x:v>3031.5863902899414</x:v>
      </x:c>
      <x:c r="E52" s="4" t="n">
        <x:f>C52*Tinh_toan_x2!E12/(2*Tinh_toan_x2!E15*Tinh_toan_x2!E13)+(Tinh_toan_x2!C48+Tinh_toan_x2!E52+Tinh_toan_x2!E53/Tinh_toan_x2!E13^2)*2*Tinh_toan_x2!E13/Tinh_toan_x2!E12*F52</x:f>
        <x:v>31.615504326923077</x:v>
      </x:c>
      <x:c r="F52" s="4" t="n">
        <x:f>Chu_ky!D9*(Chu_ky!F9+Chu_ky!E9*(Chu_ky!B9*3/10))</x:f>
        <x:v>-0.0036923076923076927</x:v>
      </x:c>
      <x:c r="G52" s="4" t="n">
        <x:f>Chu_ky!D9*Chu_ky!E9</x:f>
        <x:v>-0.04923076923076924</x:v>
      </x:c>
      <x:c r="H52" s="4" t="str">
        <x:f>Chu_ky!A9</x:f>
        <x:v>Có tải giảm j-</x:v>
      </x:c>
      <x:c r="I52" s="15"/>
      <x:c r="J52" s="15"/>
      <x:c r="K52" s="15"/>
      <x:c r="L52" s="15"/>
      <x:c r="M52" s="15"/>
      <x:c r="N52" s="15"/>
    </x:row>
    <x:row r="53" ht="32" customHeight="1">
      <x:c r="A53" s="3" t="n">
        <x:f>Chu_ky!H9+(Chu_ky!B9*4/10)</x:f>
        <x:v>82.1</x:v>
      </x:c>
      <x:c r="B53" s="4" t="n">
        <x:f>Chu_ky!D9*(Chu_ky!G9+Chu_ky!F9*(Chu_ky!B9*4/10)+0.5*Chu_ky!E9*(Chu_ky!B9*4/10)^2)</x:f>
        <x:v>0.11975384615384617</x:v>
      </x:c>
      <x:c r="C53" s="4" t="n">
        <x:f>Chu_ky!C9*(Chu_ky!D9*Tinh_toan_x2!E14*Tinh_toan_x2!E17+F53)</x:f>
        <x:v>24353.865230769232</x:v>
      </x:c>
      <x:c r="D53" s="4" t="n">
        <x:f>E53*B53*2*Tinh_toan_x2!E13/Tinh_toan_x2!E12</x:f>
        <x:v>3023.2732204023673</x:v>
      </x:c>
      <x:c r="E53" s="4" t="n">
        <x:f>C53*Tinh_toan_x2!E12/(2*Tinh_toan_x2!E15*Tinh_toan_x2!E13)+(Tinh_toan_x2!C48+Tinh_toan_x2!E52+Tinh_toan_x2!E53/Tinh_toan_x2!E13^2)*2*Tinh_toan_x2!E13/Tinh_toan_x2!E12*F53</x:f>
        <x:v>31.55716201923077</x:v>
      </x:c>
      <x:c r="F53" s="4" t="n">
        <x:f>Chu_ky!D9*(Chu_ky!F9+Chu_ky!E9*(Chu_ky!B9*4/10))</x:f>
        <x:v>-0.004923076923076924</x:v>
      </x:c>
      <x:c r="G53" s="4" t="n">
        <x:f>Chu_ky!D9*Chu_ky!E9</x:f>
        <x:v>-0.04923076923076924</x:v>
      </x:c>
      <x:c r="H53" s="4" t="str">
        <x:f>Chu_ky!A9</x:f>
        <x:v>Có tải giảm j-</x:v>
      </x:c>
      <x:c r="I53" s="15"/>
      <x:c r="J53" s="15"/>
      <x:c r="K53" s="15"/>
      <x:c r="L53" s="15"/>
      <x:c r="M53" s="15"/>
      <x:c r="N53" s="15"/>
    </x:row>
    <x:row r="54" ht="32" customHeight="1">
      <x:c r="A54" s="3" t="n">
        <x:f>Chu_ky!H9+(Chu_ky!B9*5/10)</x:f>
        <x:v>82.125</x:v>
      </x:c>
      <x:c r="B54" s="4" t="n">
        <x:f>Chu_ky!D9*(Chu_ky!G9+Chu_ky!F9*(Chu_ky!B9*5/10)+0.5*Chu_ky!E9*(Chu_ky!B9*5/10)^2)</x:f>
        <x:v>0.11961538461538462</x:v>
      </x:c>
      <x:c r="C54" s="4" t="n">
        <x:f>Chu_ky!C9*(Chu_ky!D9*Tinh_toan_x2!E14*Tinh_toan_x2!E17+F54)</x:f>
        <x:v>24338.54953846154</x:v>
      </x:c>
      <x:c r="D54" s="4" t="n">
        <x:f>E54*B54*2*Tinh_toan_x2!E13/Tinh_toan_x2!E12</x:f>
        <x:v>3014.1947477810654</x:v>
      </x:c>
      <x:c r="E54" s="4" t="n">
        <x:f>C54*Tinh_toan_x2!E12/(2*Tinh_toan_x2!E15*Tinh_toan_x2!E13)+(Tinh_toan_x2!C48+Tinh_toan_x2!E52+Tinh_toan_x2!E53/Tinh_toan_x2!E13^2)*2*Tinh_toan_x2!E13/Tinh_toan_x2!E12*F54</x:f>
        <x:v>31.498819711538463</x:v>
      </x:c>
      <x:c r="F54" s="4" t="n">
        <x:f>Chu_ky!D9*(Chu_ky!F9+Chu_ky!E9*(Chu_ky!B9*5/10))</x:f>
        <x:v>-0.006153846153846155</x:v>
      </x:c>
      <x:c r="G54" s="4" t="n">
        <x:f>Chu_ky!D9*Chu_ky!E9</x:f>
        <x:v>-0.04923076923076924</x:v>
      </x:c>
      <x:c r="H54" s="4" t="str">
        <x:f>Chu_ky!A9</x:f>
        <x:v>Có tải giảm j-</x:v>
      </x:c>
      <x:c r="I54" s="15"/>
      <x:c r="J54" s="15"/>
      <x:c r="K54" s="15"/>
      <x:c r="L54" s="15"/>
      <x:c r="M54" s="15"/>
      <x:c r="N54" s="15"/>
    </x:row>
    <x:row r="55" ht="32" customHeight="1">
      <x:c r="A55" s="3" t="n">
        <x:f>Chu_ky!H9+(Chu_ky!B9*6/10)</x:f>
        <x:v>82.15</x:v>
      </x:c>
      <x:c r="B55" s="4" t="n">
        <x:f>Chu_ky!D9*(Chu_ky!G9+Chu_ky!F9*(Chu_ky!B9*6/10)+0.5*Chu_ky!E9*(Chu_ky!B9*6/10)^2)</x:f>
        <x:v>0.11944615384615385</x:v>
      </x:c>
      <x:c r="C55" s="4" t="n">
        <x:f>Chu_ky!C9*(Chu_ky!D9*Tinh_toan_x2!E14*Tinh_toan_x2!E17+F55)</x:f>
        <x:v>24323.23384615385</x:v>
      </x:c>
      <x:c r="D55" s="4" t="n">
        <x:f>E55*B55*2*Tinh_toan_x2!E13/Tinh_toan_x2!E12</x:f>
        <x:v>3004.355280781066</x:v>
      </x:c>
      <x:c r="E55" s="4" t="n">
        <x:f>C55*Tinh_toan_x2!E12/(2*Tinh_toan_x2!E15*Tinh_toan_x2!E13)+(Tinh_toan_x2!C48+Tinh_toan_x2!E52+Tinh_toan_x2!E53/Tinh_toan_x2!E13^2)*2*Tinh_toan_x2!E13/Tinh_toan_x2!E12*F55</x:f>
        <x:v>31.44047740384616</x:v>
      </x:c>
      <x:c r="F55" s="4" t="n">
        <x:f>Chu_ky!D9*(Chu_ky!F9+Chu_ky!E9*(Chu_ky!B9*6/10))</x:f>
        <x:v>-0.007384615384615385</x:v>
      </x:c>
      <x:c r="G55" s="4" t="n">
        <x:f>Chu_ky!D9*Chu_ky!E9</x:f>
        <x:v>-0.04923076923076924</x:v>
      </x:c>
      <x:c r="H55" s="4" t="str">
        <x:f>Chu_ky!A9</x:f>
        <x:v>Có tải giảm j-</x:v>
      </x:c>
      <x:c r="I55" s="15"/>
      <x:c r="J55" s="15"/>
      <x:c r="K55" s="15"/>
      <x:c r="L55" s="15"/>
      <x:c r="M55" s="15"/>
      <x:c r="N55" s="15"/>
    </x:row>
    <x:row r="56" ht="32" customHeight="1">
      <x:c r="A56" s="3" t="n">
        <x:f>Chu_ky!H9+(Chu_ky!B9*7/10)</x:f>
        <x:v>82.175</x:v>
      </x:c>
      <x:c r="B56" s="4" t="n">
        <x:f>Chu_ky!D9*(Chu_ky!G9+Chu_ky!F9*(Chu_ky!B9*7/10)+0.5*Chu_ky!E9*(Chu_ky!B9*7/10)^2)</x:f>
        <x:v>0.11924615384615385</x:v>
      </x:c>
      <x:c r="C56" s="4" t="n">
        <x:f>Chu_ky!C9*(Chu_ky!D9*Tinh_toan_x2!E14*Tinh_toan_x2!E17+F56)</x:f>
        <x:v>24307.918153846156</x:v>
      </x:c>
      <x:c r="D56" s="4" t="n">
        <x:f>E56*B56*2*Tinh_toan_x2!E13/Tinh_toan_x2!E12</x:f>
        <x:v>2993.759127757397</x:v>
      </x:c>
      <x:c r="E56" s="4" t="n">
        <x:f>C56*Tinh_toan_x2!E12/(2*Tinh_toan_x2!E15*Tinh_toan_x2!E13)+(Tinh_toan_x2!C48+Tinh_toan_x2!E52+Tinh_toan_x2!E53/Tinh_toan_x2!E13^2)*2*Tinh_toan_x2!E13/Tinh_toan_x2!E12*F56</x:f>
        <x:v>31.38213509615385</x:v>
      </x:c>
      <x:c r="F56" s="4" t="n">
        <x:f>Chu_ky!D9*(Chu_ky!F9+Chu_ky!E9*(Chu_ky!B9*7/10))</x:f>
        <x:v>-0.008615384615384617</x:v>
      </x:c>
      <x:c r="G56" s="4" t="n">
        <x:f>Chu_ky!D9*Chu_ky!E9</x:f>
        <x:v>-0.04923076923076924</x:v>
      </x:c>
      <x:c r="H56" s="4" t="str">
        <x:f>Chu_ky!A9</x:f>
        <x:v>Có tải giảm j-</x:v>
      </x:c>
      <x:c r="I56" s="15"/>
      <x:c r="J56" s="15"/>
      <x:c r="K56" s="15"/>
      <x:c r="L56" s="15"/>
      <x:c r="M56" s="15"/>
      <x:c r="N56" s="15"/>
    </x:row>
    <x:row r="57" ht="32" customHeight="1">
      <x:c r="A57" s="3" t="n">
        <x:f>Chu_ky!H9+(Chu_ky!B9*8/10)</x:f>
        <x:v>82.2</x:v>
      </x:c>
      <x:c r="B57" s="4" t="n">
        <x:f>Chu_ky!D9*(Chu_ky!G9+Chu_ky!F9*(Chu_ky!B9*8/10)+0.5*Chu_ky!E9*(Chu_ky!B9*8/10)^2)</x:f>
        <x:v>0.11901538461538462</x:v>
      </x:c>
      <x:c r="C57" s="4" t="n">
        <x:f>Chu_ky!C9*(Chu_ky!D9*Tinh_toan_x2!E14*Tinh_toan_x2!E17+F57)</x:f>
        <x:v>24292.602461538463</x:v>
      </x:c>
      <x:c r="D57" s="4" t="n">
        <x:f>E57*B57*2*Tinh_toan_x2!E13/Tinh_toan_x2!E12</x:f>
        <x:v>2982.410597065089</x:v>
      </x:c>
      <x:c r="E57" s="4" t="n">
        <x:f>C57*Tinh_toan_x2!E12/(2*Tinh_toan_x2!E15*Tinh_toan_x2!E13)+(Tinh_toan_x2!C48+Tinh_toan_x2!E52+Tinh_toan_x2!E53/Tinh_toan_x2!E13^2)*2*Tinh_toan_x2!E13/Tinh_toan_x2!E12*F57</x:f>
        <x:v>31.32379278846154</x:v>
      </x:c>
      <x:c r="F57" s="4" t="n">
        <x:f>Chu_ky!D9*(Chu_ky!F9+Chu_ky!E9*(Chu_ky!B9*8/10))</x:f>
        <x:v>-0.009846153846153848</x:v>
      </x:c>
      <x:c r="G57" s="4" t="n">
        <x:f>Chu_ky!D9*Chu_ky!E9</x:f>
        <x:v>-0.04923076923076924</x:v>
      </x:c>
      <x:c r="H57" s="4" t="str">
        <x:f>Chu_ky!A9</x:f>
        <x:v>Có tải giảm j-</x:v>
      </x:c>
      <x:c r="I57" s="15"/>
      <x:c r="J57" s="15"/>
      <x:c r="K57" s="15"/>
      <x:c r="L57" s="15"/>
      <x:c r="M57" s="15"/>
      <x:c r="N57" s="15"/>
    </x:row>
    <x:row r="58" ht="32" customHeight="1">
      <x:c r="A58" s="3" t="n">
        <x:f>Chu_ky!H9+(Chu_ky!B9*9/10)</x:f>
        <x:v>82.225</x:v>
      </x:c>
      <x:c r="B58" s="4" t="n">
        <x:f>Chu_ky!D9*(Chu_ky!G9+Chu_ky!F9*(Chu_ky!B9*9/10)+0.5*Chu_ky!E9*(Chu_ky!B9*9/10)^2)</x:f>
        <x:v>0.11875384615384617</x:v>
      </x:c>
      <x:c r="C58" s="4" t="n">
        <x:f>Chu_ky!C9*(Chu_ky!D9*Tinh_toan_x2!E14*Tinh_toan_x2!E17+F58)</x:f>
        <x:v>24277.286769230774</x:v>
      </x:c>
      <x:c r="D58" s="4" t="n">
        <x:f>E58*B58*2*Tinh_toan_x2!E13/Tinh_toan_x2!E12</x:f>
        <x:v>2970.3139970591724</x:v>
      </x:c>
      <x:c r="E58" s="4" t="n">
        <x:f>C58*Tinh_toan_x2!E12/(2*Tinh_toan_x2!E15*Tinh_toan_x2!E13)+(Tinh_toan_x2!C48+Tinh_toan_x2!E52+Tinh_toan_x2!E53/Tinh_toan_x2!E13^2)*2*Tinh_toan_x2!E13/Tinh_toan_x2!E12*F58</x:f>
        <x:v>31.265450480769235</x:v>
      </x:c>
      <x:c r="F58" s="4" t="n">
        <x:f>Chu_ky!D9*(Chu_ky!F9+Chu_ky!E9*(Chu_ky!B9*9/10))</x:f>
        <x:v>-0.011076923076923078</x:v>
      </x:c>
      <x:c r="G58" s="4" t="n">
        <x:f>Chu_ky!D9*Chu_ky!E9</x:f>
        <x:v>-0.04923076923076924</x:v>
      </x:c>
      <x:c r="H58" s="4" t="str">
        <x:f>Chu_ky!A9</x:f>
        <x:v>Có tải giảm j-</x:v>
      </x:c>
      <x:c r="I58" s="15"/>
      <x:c r="J58" s="15"/>
      <x:c r="K58" s="15"/>
      <x:c r="L58" s="15"/>
      <x:c r="M58" s="15"/>
      <x:c r="N58" s="15"/>
    </x:row>
    <x:row r="59" ht="32" customHeight="1">
      <x:c r="A59" s="3" t="n">
        <x:f>Chu_ky!H9+(Chu_ky!B9*10/10)</x:f>
        <x:v>82.25</x:v>
      </x:c>
      <x:c r="B59" s="4" t="n">
        <x:f>Chu_ky!D9*(Chu_ky!G9+Chu_ky!F9*(Chu_ky!B9*10/10)+0.5*Chu_ky!E9*(Chu_ky!B9*10/10)^2)</x:f>
        <x:v>0.11846153846153847</x:v>
      </x:c>
      <x:c r="C59" s="4" t="n">
        <x:f>Chu_ky!C9*(Chu_ky!D9*Tinh_toan_x2!E14*Tinh_toan_x2!E17+F59)</x:f>
        <x:v>24261.971076923077</x:v>
      </x:c>
      <x:c r="D59" s="4" t="n">
        <x:f>E59*B59*2*Tinh_toan_x2!E13/Tinh_toan_x2!E12</x:f>
        <x:v>2957.4736360946745</x:v>
      </x:c>
      <x:c r="E59" s="4" t="n">
        <x:f>C59*Tinh_toan_x2!E12/(2*Tinh_toan_x2!E15*Tinh_toan_x2!E13)+(Tinh_toan_x2!C48+Tinh_toan_x2!E52+Tinh_toan_x2!E53/Tinh_toan_x2!E13^2)*2*Tinh_toan_x2!E13/Tinh_toan_x2!E12*F59</x:f>
        <x:v>31.20710817307692</x:v>
      </x:c>
      <x:c r="F59" s="4" t="n">
        <x:f>Chu_ky!D9*(Chu_ky!F9+Chu_ky!E9*(Chu_ky!B9*10/10))</x:f>
        <x:v>-0.01230769230769231</x:v>
      </x:c>
      <x:c r="G59" s="4" t="n">
        <x:f>Chu_ky!D9*Chu_ky!E9</x:f>
        <x:v>-0.04923076923076924</x:v>
      </x:c>
      <x:c r="H59" s="4" t="str">
        <x:f>Chu_ky!A9</x:f>
        <x:v>Có tải giảm j-</x:v>
      </x:c>
      <x:c r="I59" s="15"/>
      <x:c r="J59" s="15"/>
      <x:c r="K59" s="15"/>
      <x:c r="L59" s="15"/>
      <x:c r="M59" s="15"/>
      <x:c r="N59" s="15"/>
    </x:row>
    <x:row r="60" ht="32" customHeight="1">
      <x:c r="A60" s="3" t="n">
        <x:f>Chu_ky!H10+(Chu_ky!B10*0/10)</x:f>
        <x:v>82.25</x:v>
      </x:c>
      <x:c r="B60" s="4" t="n">
        <x:f>Chu_ky!D10*(Chu_ky!G10+Chu_ky!F10*(Chu_ky!B10*0/10)+0.5*Chu_ky!E10*(Chu_ky!B10*0/10)^2)</x:f>
        <x:v>0.11846153846153847</x:v>
      </x:c>
      <x:c r="C60" s="4" t="n">
        <x:f>Chu_ky!C10*(Chu_ky!D10*Tinh_toan_x2!E14*Tinh_toan_x2!E17+F60)</x:f>
        <x:v>24261.971076923077</x:v>
      </x:c>
      <x:c r="D60" s="4" t="n">
        <x:f>E60*B60*2*Tinh_toan_x2!E13/Tinh_toan_x2!E12</x:f>
        <x:v>2957.4736360946745</x:v>
      </x:c>
      <x:c r="E60" s="4" t="n">
        <x:f>C60*Tinh_toan_x2!E12/(2*Tinh_toan_x2!E15*Tinh_toan_x2!E13)+(Tinh_toan_x2!C48+Tinh_toan_x2!E52+Tinh_toan_x2!E53/Tinh_toan_x2!E13^2)*2*Tinh_toan_x2!E13/Tinh_toan_x2!E12*F60</x:f>
        <x:v>31.20710817307692</x:v>
      </x:c>
      <x:c r="F60" s="4" t="n">
        <x:f>Chu_ky!D10*(Chu_ky!F10+Chu_ky!E10*(Chu_ky!B10*0/10))</x:f>
        <x:v>-0.01230769230769231</x:v>
      </x:c>
      <x:c r="G60" s="4" t="n">
        <x:f>Chu_ky!D10*Chu_ky!E10</x:f>
        <x:v>0</x:v>
      </x:c>
      <x:c r="H60" s="4" t="str">
        <x:f>Chu_ky!A10</x:f>
        <x:v>Có tải giảm a</x:v>
      </x:c>
      <x:c r="I60" s="15"/>
      <x:c r="J60" s="15"/>
      <x:c r="K60" s="15"/>
      <x:c r="L60" s="15"/>
      <x:c r="M60" s="15"/>
      <x:c r="N60" s="15"/>
    </x:row>
    <x:row r="61" ht="32" customHeight="1">
      <x:c r="A61" s="3" t="n">
        <x:f>Chu_ky!H10+(Chu_ky!B10*1/10)</x:f>
        <x:v>83.2</x:v>
      </x:c>
      <x:c r="B61" s="4" t="n">
        <x:f>Chu_ky!D10*(Chu_ky!G10+Chu_ky!F10*(Chu_ky!B10*1/10)+0.5*Chu_ky!E10*(Chu_ky!B10*1/10)^2)</x:f>
        <x:v>0.10676923076923077</x:v>
      </x:c>
      <x:c r="C61" s="4" t="n">
        <x:f>Chu_ky!C10*(Chu_ky!D10*Tinh_toan_x2!E14*Tinh_toan_x2!E17+F61)</x:f>
        <x:v>24261.971076923077</x:v>
      </x:c>
      <x:c r="D61" s="4" t="n">
        <x:f>E61*B61*2*Tinh_toan_x2!E13/Tinh_toan_x2!E12</x:f>
        <x:v>2665.567147337278</x:v>
      </x:c>
      <x:c r="E61" s="4" t="n">
        <x:f>C61*Tinh_toan_x2!E12/(2*Tinh_toan_x2!E15*Tinh_toan_x2!E13)+(Tinh_toan_x2!C48+Tinh_toan_x2!E52+Tinh_toan_x2!E53/Tinh_toan_x2!E13^2)*2*Tinh_toan_x2!E13/Tinh_toan_x2!E12*F61</x:f>
        <x:v>31.20710817307692</x:v>
      </x:c>
      <x:c r="F61" s="4" t="n">
        <x:f>Chu_ky!D10*(Chu_ky!F10+Chu_ky!E10*(Chu_ky!B10*1/10))</x:f>
        <x:v>-0.01230769230769231</x:v>
      </x:c>
      <x:c r="G61" s="4" t="n">
        <x:f>Chu_ky!D10*Chu_ky!E10</x:f>
        <x:v>0</x:v>
      </x:c>
      <x:c r="H61" s="4" t="str">
        <x:f>Chu_ky!A10</x:f>
        <x:v>Có tải giảm a</x:v>
      </x:c>
      <x:c r="I61" s="15"/>
      <x:c r="J61" s="15"/>
      <x:c r="K61" s="15"/>
      <x:c r="L61" s="15"/>
      <x:c r="M61" s="15"/>
      <x:c r="N61" s="15"/>
    </x:row>
    <x:row r="62" ht="32" customHeight="1">
      <x:c r="A62" s="3" t="n">
        <x:f>Chu_ky!H10+(Chu_ky!B10*2/10)</x:f>
        <x:v>84.15</x:v>
      </x:c>
      <x:c r="B62" s="4" t="n">
        <x:f>Chu_ky!D10*(Chu_ky!G10+Chu_ky!F10*(Chu_ky!B10*2/10)+0.5*Chu_ky!E10*(Chu_ky!B10*2/10)^2)</x:f>
        <x:v>0.09507692307692309</x:v>
      </x:c>
      <x:c r="C62" s="4" t="n">
        <x:f>Chu_ky!C10*(Chu_ky!D10*Tinh_toan_x2!E14*Tinh_toan_x2!E17+F62)</x:f>
        <x:v>24261.971076923077</x:v>
      </x:c>
      <x:c r="D62" s="4" t="n">
        <x:f>E62*B62*2*Tinh_toan_x2!E13/Tinh_toan_x2!E12</x:f>
        <x:v>2373.660658579882</x:v>
      </x:c>
      <x:c r="E62" s="4" t="n">
        <x:f>C62*Tinh_toan_x2!E12/(2*Tinh_toan_x2!E15*Tinh_toan_x2!E13)+(Tinh_toan_x2!C48+Tinh_toan_x2!E52+Tinh_toan_x2!E53/Tinh_toan_x2!E13^2)*2*Tinh_toan_x2!E13/Tinh_toan_x2!E12*F62</x:f>
        <x:v>31.20710817307692</x:v>
      </x:c>
      <x:c r="F62" s="4" t="n">
        <x:f>Chu_ky!D10*(Chu_ky!F10+Chu_ky!E10*(Chu_ky!B10*2/10))</x:f>
        <x:v>-0.01230769230769231</x:v>
      </x:c>
      <x:c r="G62" s="4" t="n">
        <x:f>Chu_ky!D10*Chu_ky!E10</x:f>
        <x:v>0</x:v>
      </x:c>
      <x:c r="H62" s="4" t="str">
        <x:f>Chu_ky!A10</x:f>
        <x:v>Có tải giảm a</x:v>
      </x:c>
      <x:c r="I62" s="15"/>
      <x:c r="J62" s="15"/>
      <x:c r="K62" s="15"/>
      <x:c r="L62" s="15"/>
      <x:c r="M62" s="15"/>
      <x:c r="N62" s="15"/>
    </x:row>
    <x:row r="63" ht="32" customHeight="1">
      <x:c r="A63" s="3" t="n">
        <x:f>Chu_ky!H10+(Chu_ky!B10*3/10)</x:f>
        <x:v>85.1</x:v>
      </x:c>
      <x:c r="B63" s="4" t="n">
        <x:f>Chu_ky!D10*(Chu_ky!G10+Chu_ky!F10*(Chu_ky!B10*3/10)+0.5*Chu_ky!E10*(Chu_ky!B10*3/10)^2)</x:f>
        <x:v>0.08338461538461539</x:v>
      </x:c>
      <x:c r="C63" s="4" t="n">
        <x:f>Chu_ky!C10*(Chu_ky!D10*Tinh_toan_x2!E14*Tinh_toan_x2!E17+F63)</x:f>
        <x:v>24261.971076923077</x:v>
      </x:c>
      <x:c r="D63" s="4" t="n">
        <x:f>E63*B63*2*Tinh_toan_x2!E13/Tinh_toan_x2!E12</x:f>
        <x:v>2081.7541698224854</x:v>
      </x:c>
      <x:c r="E63" s="4" t="n">
        <x:f>C63*Tinh_toan_x2!E12/(2*Tinh_toan_x2!E15*Tinh_toan_x2!E13)+(Tinh_toan_x2!C48+Tinh_toan_x2!E52+Tinh_toan_x2!E53/Tinh_toan_x2!E13^2)*2*Tinh_toan_x2!E13/Tinh_toan_x2!E12*F63</x:f>
        <x:v>31.20710817307692</x:v>
      </x:c>
      <x:c r="F63" s="4" t="n">
        <x:f>Chu_ky!D10*(Chu_ky!F10+Chu_ky!E10*(Chu_ky!B10*3/10))</x:f>
        <x:v>-0.01230769230769231</x:v>
      </x:c>
      <x:c r="G63" s="4" t="n">
        <x:f>Chu_ky!D10*Chu_ky!E10</x:f>
        <x:v>0</x:v>
      </x:c>
      <x:c r="H63" s="4" t="str">
        <x:f>Chu_ky!A10</x:f>
        <x:v>Có tải giảm a</x:v>
      </x:c>
      <x:c r="I63" s="15"/>
      <x:c r="J63" s="15"/>
      <x:c r="K63" s="15"/>
      <x:c r="L63" s="15"/>
      <x:c r="M63" s="15"/>
      <x:c r="N63" s="15"/>
    </x:row>
    <x:row r="64" ht="32" customHeight="1">
      <x:c r="A64" s="3" t="n">
        <x:f>Chu_ky!H10+(Chu_ky!B10*4/10)</x:f>
        <x:v>86.05</x:v>
      </x:c>
      <x:c r="B64" s="4" t="n">
        <x:f>Chu_ky!D10*(Chu_ky!G10+Chu_ky!F10*(Chu_ky!B10*4/10)+0.5*Chu_ky!E10*(Chu_ky!B10*4/10)^2)</x:f>
        <x:v>0.0716923076923077</x:v>
      </x:c>
      <x:c r="C64" s="4" t="n">
        <x:f>Chu_ky!C10*(Chu_ky!D10*Tinh_toan_x2!E14*Tinh_toan_x2!E17+F64)</x:f>
        <x:v>24261.971076923077</x:v>
      </x:c>
      <x:c r="D64" s="4" t="n">
        <x:f>E64*B64*2*Tinh_toan_x2!E13/Tinh_toan_x2!E12</x:f>
        <x:v>1789.8476810650886</x:v>
      </x:c>
      <x:c r="E64" s="4" t="n">
        <x:f>C64*Tinh_toan_x2!E12/(2*Tinh_toan_x2!E15*Tinh_toan_x2!E13)+(Tinh_toan_x2!C48+Tinh_toan_x2!E52+Tinh_toan_x2!E53/Tinh_toan_x2!E13^2)*2*Tinh_toan_x2!E13/Tinh_toan_x2!E12*F64</x:f>
        <x:v>31.20710817307692</x:v>
      </x:c>
      <x:c r="F64" s="4" t="n">
        <x:f>Chu_ky!D10*(Chu_ky!F10+Chu_ky!E10*(Chu_ky!B10*4/10))</x:f>
        <x:v>-0.01230769230769231</x:v>
      </x:c>
      <x:c r="G64" s="4" t="n">
        <x:f>Chu_ky!D10*Chu_ky!E10</x:f>
        <x:v>0</x:v>
      </x:c>
      <x:c r="H64" s="4" t="str">
        <x:f>Chu_ky!A10</x:f>
        <x:v>Có tải giảm a</x:v>
      </x:c>
      <x:c r="I64" s="15"/>
      <x:c r="J64" s="15"/>
      <x:c r="K64" s="15"/>
      <x:c r="L64" s="15"/>
      <x:c r="M64" s="15"/>
      <x:c r="N64" s="15"/>
    </x:row>
    <x:row r="65" ht="32" customHeight="1">
      <x:c r="A65" s="3" t="n">
        <x:f>Chu_ky!H10+(Chu_ky!B10*5/10)</x:f>
        <x:v>87</x:v>
      </x:c>
      <x:c r="B65" s="4" t="n">
        <x:f>Chu_ky!D10*(Chu_ky!G10+Chu_ky!F10*(Chu_ky!B10*5/10)+0.5*Chu_ky!E10*(Chu_ky!B10*5/10)^2)</x:f>
        <x:v>0.06</x:v>
      </x:c>
      <x:c r="C65" s="4" t="n">
        <x:f>Chu_ky!C10*(Chu_ky!D10*Tinh_toan_x2!E14*Tinh_toan_x2!E17+F65)</x:f>
        <x:v>24261.971076923077</x:v>
      </x:c>
      <x:c r="D65" s="4" t="n">
        <x:f>E65*B65*2*Tinh_toan_x2!E13/Tinh_toan_x2!E12</x:f>
        <x:v>1497.9411923076923</x:v>
      </x:c>
      <x:c r="E65" s="4" t="n">
        <x:f>C65*Tinh_toan_x2!E12/(2*Tinh_toan_x2!E15*Tinh_toan_x2!E13)+(Tinh_toan_x2!C48+Tinh_toan_x2!E52+Tinh_toan_x2!E53/Tinh_toan_x2!E13^2)*2*Tinh_toan_x2!E13/Tinh_toan_x2!E12*F65</x:f>
        <x:v>31.20710817307692</x:v>
      </x:c>
      <x:c r="F65" s="4" t="n">
        <x:f>Chu_ky!D10*(Chu_ky!F10+Chu_ky!E10*(Chu_ky!B10*5/10))</x:f>
        <x:v>-0.01230769230769231</x:v>
      </x:c>
      <x:c r="G65" s="4" t="n">
        <x:f>Chu_ky!D10*Chu_ky!E10</x:f>
        <x:v>0</x:v>
      </x:c>
      <x:c r="H65" s="4" t="str">
        <x:f>Chu_ky!A10</x:f>
        <x:v>Có tải giảm a</x:v>
      </x:c>
      <x:c r="I65" s="15"/>
      <x:c r="J65" s="15"/>
      <x:c r="K65" s="15"/>
      <x:c r="L65" s="15"/>
      <x:c r="M65" s="15"/>
      <x:c r="N65" s="15"/>
    </x:row>
    <x:row r="66" ht="32" customHeight="1">
      <x:c r="A66" s="3" t="n">
        <x:f>Chu_ky!H10+(Chu_ky!B10*6/10)</x:f>
        <x:v>87.95</x:v>
      </x:c>
      <x:c r="B66" s="4" t="n">
        <x:f>Chu_ky!D10*(Chu_ky!G10+Chu_ky!F10*(Chu_ky!B10*6/10)+0.5*Chu_ky!E10*(Chu_ky!B10*6/10)^2)</x:f>
        <x:v>0.0483076923076923</x:v>
      </x:c>
      <x:c r="C66" s="4" t="n">
        <x:f>Chu_ky!C10*(Chu_ky!D10*Tinh_toan_x2!E14*Tinh_toan_x2!E17+F66)</x:f>
        <x:v>24261.971076923077</x:v>
      </x:c>
      <x:c r="D66" s="4" t="n">
        <x:f>E66*B66*2*Tinh_toan_x2!E13/Tinh_toan_x2!E12</x:f>
        <x:v>1206.0347035502957</x:v>
      </x:c>
      <x:c r="E66" s="4" t="n">
        <x:f>C66*Tinh_toan_x2!E12/(2*Tinh_toan_x2!E15*Tinh_toan_x2!E13)+(Tinh_toan_x2!C48+Tinh_toan_x2!E52+Tinh_toan_x2!E53/Tinh_toan_x2!E13^2)*2*Tinh_toan_x2!E13/Tinh_toan_x2!E12*F66</x:f>
        <x:v>31.20710817307692</x:v>
      </x:c>
      <x:c r="F66" s="4" t="n">
        <x:f>Chu_ky!D10*(Chu_ky!F10+Chu_ky!E10*(Chu_ky!B10*6/10))</x:f>
        <x:v>-0.01230769230769231</x:v>
      </x:c>
      <x:c r="G66" s="4" t="n">
        <x:f>Chu_ky!D10*Chu_ky!E10</x:f>
        <x:v>0</x:v>
      </x:c>
      <x:c r="H66" s="4" t="str">
        <x:f>Chu_ky!A10</x:f>
        <x:v>Có tải giảm a</x:v>
      </x:c>
      <x:c r="I66" s="15"/>
      <x:c r="J66" s="15"/>
      <x:c r="K66" s="15"/>
      <x:c r="L66" s="15"/>
      <x:c r="M66" s="15"/>
      <x:c r="N66" s="15"/>
    </x:row>
    <x:row r="67" ht="32" customHeight="1">
      <x:c r="A67" s="3" t="n">
        <x:f>Chu_ky!H10+(Chu_ky!B10*7/10)</x:f>
        <x:v>88.9</x:v>
      </x:c>
      <x:c r="B67" s="4" t="n">
        <x:f>Chu_ky!D10*(Chu_ky!G10+Chu_ky!F10*(Chu_ky!B10*7/10)+0.5*Chu_ky!E10*(Chu_ky!B10*7/10)^2)</x:f>
        <x:v>0.036615384615384605</x:v>
      </x:c>
      <x:c r="C67" s="4" t="n">
        <x:f>Chu_ky!C10*(Chu_ky!D10*Tinh_toan_x2!E14*Tinh_toan_x2!E17+F67)</x:f>
        <x:v>24261.971076923077</x:v>
      </x:c>
      <x:c r="D67" s="4" t="n">
        <x:f>E67*B67*2*Tinh_toan_x2!E13/Tinh_toan_x2!E12</x:f>
        <x:v>914.128214792899</x:v>
      </x:c>
      <x:c r="E67" s="4" t="n">
        <x:f>C67*Tinh_toan_x2!E12/(2*Tinh_toan_x2!E15*Tinh_toan_x2!E13)+(Tinh_toan_x2!C48+Tinh_toan_x2!E52+Tinh_toan_x2!E53/Tinh_toan_x2!E13^2)*2*Tinh_toan_x2!E13/Tinh_toan_x2!E12*F67</x:f>
        <x:v>31.20710817307692</x:v>
      </x:c>
      <x:c r="F67" s="4" t="n">
        <x:f>Chu_ky!D10*(Chu_ky!F10+Chu_ky!E10*(Chu_ky!B10*7/10))</x:f>
        <x:v>-0.01230769230769231</x:v>
      </x:c>
      <x:c r="G67" s="4" t="n">
        <x:f>Chu_ky!D10*Chu_ky!E10</x:f>
        <x:v>0</x:v>
      </x:c>
      <x:c r="H67" s="4" t="str">
        <x:f>Chu_ky!A10</x:f>
        <x:v>Có tải giảm a</x:v>
      </x:c>
      <x:c r="I67" s="15"/>
      <x:c r="J67" s="15"/>
      <x:c r="K67" s="15"/>
      <x:c r="L67" s="15"/>
      <x:c r="M67" s="15"/>
      <x:c r="N67" s="15"/>
    </x:row>
    <x:row r="68" ht="32" customHeight="1">
      <x:c r="A68" s="3" t="n">
        <x:f>Chu_ky!H10+(Chu_ky!B10*8/10)</x:f>
        <x:v>89.85</x:v>
      </x:c>
      <x:c r="B68" s="4" t="n">
        <x:f>Chu_ky!D10*(Chu_ky!G10+Chu_ky!F10*(Chu_ky!B10*8/10)+0.5*Chu_ky!E10*(Chu_ky!B10*8/10)^2)</x:f>
        <x:v>0.024923076923076923</x:v>
      </x:c>
      <x:c r="C68" s="4" t="n">
        <x:f>Chu_ky!C10*(Chu_ky!D10*Tinh_toan_x2!E14*Tinh_toan_x2!E17+F68)</x:f>
        <x:v>24261.971076923077</x:v>
      </x:c>
      <x:c r="D68" s="4" t="n">
        <x:f>E68*B68*2*Tinh_toan_x2!E13/Tinh_toan_x2!E12</x:f>
        <x:v>622.2217260355029</x:v>
      </x:c>
      <x:c r="E68" s="4" t="n">
        <x:f>C68*Tinh_toan_x2!E12/(2*Tinh_toan_x2!E15*Tinh_toan_x2!E13)+(Tinh_toan_x2!C48+Tinh_toan_x2!E52+Tinh_toan_x2!E53/Tinh_toan_x2!E13^2)*2*Tinh_toan_x2!E13/Tinh_toan_x2!E12*F68</x:f>
        <x:v>31.20710817307692</x:v>
      </x:c>
      <x:c r="F68" s="4" t="n">
        <x:f>Chu_ky!D10*(Chu_ky!F10+Chu_ky!E10*(Chu_ky!B10*8/10))</x:f>
        <x:v>-0.01230769230769231</x:v>
      </x:c>
      <x:c r="G68" s="4" t="n">
        <x:f>Chu_ky!D10*Chu_ky!E10</x:f>
        <x:v>0</x:v>
      </x:c>
      <x:c r="H68" s="4" t="str">
        <x:f>Chu_ky!A10</x:f>
        <x:v>Có tải giảm a</x:v>
      </x:c>
      <x:c r="I68" s="15"/>
      <x:c r="J68" s="15"/>
      <x:c r="K68" s="15"/>
      <x:c r="L68" s="15"/>
      <x:c r="M68" s="15"/>
      <x:c r="N68" s="15"/>
    </x:row>
    <x:row r="69" ht="32" customHeight="1">
      <x:c r="A69" s="3" t="n">
        <x:f>Chu_ky!H10+(Chu_ky!B10*9/10)</x:f>
        <x:v>90.8</x:v>
      </x:c>
      <x:c r="B69" s="4" t="n">
        <x:f>Chu_ky!D10*(Chu_ky!G10+Chu_ky!F10*(Chu_ky!B10*9/10)+0.5*Chu_ky!E10*(Chu_ky!B10*9/10)^2)</x:f>
        <x:v>0.013230769230769213</x:v>
      </x:c>
      <x:c r="C69" s="4" t="n">
        <x:f>Chu_ky!C10*(Chu_ky!D10*Tinh_toan_x2!E14*Tinh_toan_x2!E17+F69)</x:f>
        <x:v>24261.971076923077</x:v>
      </x:c>
      <x:c r="D69" s="4" t="n">
        <x:f>E69*B69*2*Tinh_toan_x2!E13/Tinh_toan_x2!E12</x:f>
        <x:v>330.31523727810605</x:v>
      </x:c>
      <x:c r="E69" s="4" t="n">
        <x:f>C69*Tinh_toan_x2!E12/(2*Tinh_toan_x2!E15*Tinh_toan_x2!E13)+(Tinh_toan_x2!C48+Tinh_toan_x2!E52+Tinh_toan_x2!E53/Tinh_toan_x2!E13^2)*2*Tinh_toan_x2!E13/Tinh_toan_x2!E12*F69</x:f>
        <x:v>31.20710817307692</x:v>
      </x:c>
      <x:c r="F69" s="4" t="n">
        <x:f>Chu_ky!D10*(Chu_ky!F10+Chu_ky!E10*(Chu_ky!B10*9/10))</x:f>
        <x:v>-0.01230769230769231</x:v>
      </x:c>
      <x:c r="G69" s="4" t="n">
        <x:f>Chu_ky!D10*Chu_ky!E10</x:f>
        <x:v>0</x:v>
      </x:c>
      <x:c r="H69" s="4" t="str">
        <x:f>Chu_ky!A10</x:f>
        <x:v>Có tải giảm a</x:v>
      </x:c>
      <x:c r="I69" s="15"/>
      <x:c r="J69" s="15"/>
      <x:c r="K69" s="15"/>
      <x:c r="L69" s="15"/>
      <x:c r="M69" s="15"/>
      <x:c r="N69" s="15"/>
    </x:row>
    <x:row r="70" ht="32" customHeight="1">
      <x:c r="A70" s="3" t="n">
        <x:f>Chu_ky!H10+(Chu_ky!B10*10/10)</x:f>
        <x:v>91.75</x:v>
      </x:c>
      <x:c r="B70" s="4" t="n">
        <x:f>Chu_ky!D10*(Chu_ky!G10+Chu_ky!F10*(Chu_ky!B10*10/10)+0.5*Chu_ky!E10*(Chu_ky!B10*10/10)^2)</x:f>
        <x:v>0.0015384615384615302</x:v>
      </x:c>
      <x:c r="C70" s="4" t="n">
        <x:f>Chu_ky!C10*(Chu_ky!D10*Tinh_toan_x2!E14*Tinh_toan_x2!E17+F70)</x:f>
        <x:v>24261.971076923077</x:v>
      </x:c>
      <x:c r="D70" s="4" t="n">
        <x:f>E70*B70*2*Tinh_toan_x2!E13/Tinh_toan_x2!E12</x:f>
        <x:v>38.40874852070985</x:v>
      </x:c>
      <x:c r="E70" s="4" t="n">
        <x:f>C70*Tinh_toan_x2!E12/(2*Tinh_toan_x2!E15*Tinh_toan_x2!E13)+(Tinh_toan_x2!C48+Tinh_toan_x2!E52+Tinh_toan_x2!E53/Tinh_toan_x2!E13^2)*2*Tinh_toan_x2!E13/Tinh_toan_x2!E12*F70</x:f>
        <x:v>31.20710817307692</x:v>
      </x:c>
      <x:c r="F70" s="4" t="n">
        <x:f>Chu_ky!D10*(Chu_ky!F10+Chu_ky!E10*(Chu_ky!B10*10/10))</x:f>
        <x:v>-0.01230769230769231</x:v>
      </x:c>
      <x:c r="G70" s="4" t="n">
        <x:f>Chu_ky!D10*Chu_ky!E10</x:f>
        <x:v>0</x:v>
      </x:c>
      <x:c r="H70" s="4" t="str">
        <x:f>Chu_ky!A10</x:f>
        <x:v>Có tải giảm a</x:v>
      </x:c>
      <x:c r="I70" s="15"/>
      <x:c r="J70" s="15"/>
      <x:c r="K70" s="15"/>
      <x:c r="L70" s="15"/>
      <x:c r="M70" s="15"/>
      <x:c r="N70" s="15"/>
    </x:row>
    <x:row r="71" ht="32" customHeight="1">
      <x:c r="A71" s="3" t="n">
        <x:f>Chu_ky!H11+(Chu_ky!B11*0/10)</x:f>
        <x:v>91.75</x:v>
      </x:c>
      <x:c r="B71" s="4" t="n">
        <x:f>Chu_ky!D11*(Chu_ky!G11+Chu_ky!F11*(Chu_ky!B11*0/10)+0.5*Chu_ky!E11*(Chu_ky!B11*0/10)^2)</x:f>
        <x:v>0.0015384615384615302</x:v>
      </x:c>
      <x:c r="C71" s="4" t="n">
        <x:f>Chu_ky!C11*(Chu_ky!D11*Tinh_toan_x2!E14*Tinh_toan_x2!E17+F71)</x:f>
        <x:v>24261.971076923077</x:v>
      </x:c>
      <x:c r="D71" s="4" t="n">
        <x:f>E71*B71*2*Tinh_toan_x2!E13/Tinh_toan_x2!E12</x:f>
        <x:v>38.40874852070985</x:v>
      </x:c>
      <x:c r="E71" s="4" t="n">
        <x:f>C71*Tinh_toan_x2!E12/(2*Tinh_toan_x2!E15*Tinh_toan_x2!E13)+(Tinh_toan_x2!C48+Tinh_toan_x2!E52+Tinh_toan_x2!E53/Tinh_toan_x2!E13^2)*2*Tinh_toan_x2!E13/Tinh_toan_x2!E12*F71</x:f>
        <x:v>31.20710817307692</x:v>
      </x:c>
      <x:c r="F71" s="4" t="n">
        <x:f>Chu_ky!D11*(Chu_ky!F11+Chu_ky!E11*(Chu_ky!B11*0/10))</x:f>
        <x:v>-0.01230769230769231</x:v>
      </x:c>
      <x:c r="G71" s="4" t="n">
        <x:f>Chu_ky!D11*Chu_ky!E11</x:f>
        <x:v>0.04923076923076924</x:v>
      </x:c>
      <x:c r="H71" s="4" t="str">
        <x:f>Chu_ky!A11</x:f>
        <x:v>Có tải giảm j+</x:v>
      </x:c>
      <x:c r="I71" s="15"/>
      <x:c r="J71" s="15"/>
      <x:c r="K71" s="15"/>
      <x:c r="L71" s="15"/>
      <x:c r="M71" s="15"/>
      <x:c r="N71" s="15"/>
    </x:row>
    <x:row r="72" ht="32" customHeight="1">
      <x:c r="A72" s="3" t="n">
        <x:f>Chu_ky!H11+(Chu_ky!B11*1/10)</x:f>
        <x:v>91.775</x:v>
      </x:c>
      <x:c r="B72" s="4" t="n">
        <x:f>Chu_ky!D11*(Chu_ky!G11+Chu_ky!F11*(Chu_ky!B11*1/10)+0.5*Chu_ky!E11*(Chu_ky!B11*1/10)^2)</x:f>
        <x:v>0.0012461538461538378</x:v>
      </x:c>
      <x:c r="C72" s="4" t="n">
        <x:f>Chu_ky!C11*(Chu_ky!D11*Tinh_toan_x2!E14*Tinh_toan_x2!E17+F72)</x:f>
        <x:v>24277.286769230774</x:v>
      </x:c>
      <x:c r="D72" s="4" t="n">
        <x:f>E72*B72*2*Tinh_toan_x2!E13/Tinh_toan_x2!E12</x:f>
        <x:v>31.16924909467435</x:v>
      </x:c>
      <x:c r="E72" s="4" t="n">
        <x:f>C72*Tinh_toan_x2!E12/(2*Tinh_toan_x2!E15*Tinh_toan_x2!E13)+(Tinh_toan_x2!C48+Tinh_toan_x2!E52+Tinh_toan_x2!E53/Tinh_toan_x2!E13^2)*2*Tinh_toan_x2!E13/Tinh_toan_x2!E12*F72</x:f>
        <x:v>31.265450480769235</x:v>
      </x:c>
      <x:c r="F72" s="4" t="n">
        <x:f>Chu_ky!D11*(Chu_ky!F11+Chu_ky!E11*(Chu_ky!B11*1/10))</x:f>
        <x:v>-0.011076923076923078</x:v>
      </x:c>
      <x:c r="G72" s="4" t="n">
        <x:f>Chu_ky!D11*Chu_ky!E11</x:f>
        <x:v>0.04923076923076924</x:v>
      </x:c>
      <x:c r="H72" s="4" t="str">
        <x:f>Chu_ky!A11</x:f>
        <x:v>Có tải giảm j+</x:v>
      </x:c>
      <x:c r="I72" s="15"/>
      <x:c r="J72" s="15"/>
      <x:c r="K72" s="15"/>
      <x:c r="L72" s="15"/>
      <x:c r="M72" s="15"/>
      <x:c r="N72" s="15"/>
    </x:row>
    <x:row r="73" ht="32" customHeight="1">
      <x:c r="A73" s="3" t="n">
        <x:f>Chu_ky!H11+(Chu_ky!B11*2/10)</x:f>
        <x:v>91.8</x:v>
      </x:c>
      <x:c r="B73" s="4" t="n">
        <x:f>Chu_ky!D11*(Chu_ky!G11+Chu_ky!F11*(Chu_ky!B11*2/10)+0.5*Chu_ky!E11*(Chu_ky!B11*2/10)^2)</x:f>
        <x:v>0.0009846153846153763</x:v>
      </x:c>
      <x:c r="C73" s="4" t="n">
        <x:f>Chu_ky!C11*(Chu_ky!D11*Tinh_toan_x2!E14*Tinh_toan_x2!E17+F73)</x:f>
        <x:v>24292.602461538463</x:v>
      </x:c>
      <x:c r="D73" s="4" t="n">
        <x:f>E73*B73*2*Tinh_toan_x2!E13/Tinh_toan_x2!E12</x:f>
        <x:v>24.67351062721873</x:v>
      </x:c>
      <x:c r="E73" s="4" t="n">
        <x:f>C73*Tinh_toan_x2!E12/(2*Tinh_toan_x2!E15*Tinh_toan_x2!E13)+(Tinh_toan_x2!C48+Tinh_toan_x2!E52+Tinh_toan_x2!E53/Tinh_toan_x2!E13^2)*2*Tinh_toan_x2!E13/Tinh_toan_x2!E12*F73</x:f>
        <x:v>31.32379278846154</x:v>
      </x:c>
      <x:c r="F73" s="4" t="n">
        <x:f>Chu_ky!D11*(Chu_ky!F11+Chu_ky!E11*(Chu_ky!B11*2/10))</x:f>
        <x:v>-0.009846153846153848</x:v>
      </x:c>
      <x:c r="G73" s="4" t="n">
        <x:f>Chu_ky!D11*Chu_ky!E11</x:f>
        <x:v>0.04923076923076924</x:v>
      </x:c>
      <x:c r="H73" s="4" t="str">
        <x:f>Chu_ky!A11</x:f>
        <x:v>Có tải giảm j+</x:v>
      </x:c>
      <x:c r="I73" s="15"/>
      <x:c r="J73" s="15"/>
      <x:c r="K73" s="15"/>
      <x:c r="L73" s="15"/>
      <x:c r="M73" s="15"/>
      <x:c r="N73" s="15"/>
    </x:row>
    <x:row r="74" ht="32" customHeight="1">
      <x:c r="A74" s="3" t="n">
        <x:f>Chu_ky!H11+(Chu_ky!B11*3/10)</x:f>
        <x:v>91.825</x:v>
      </x:c>
      <x:c r="B74" s="4" t="n">
        <x:f>Chu_ky!D11*(Chu_ky!G11+Chu_ky!F11*(Chu_ky!B11*3/10)+0.5*Chu_ky!E11*(Chu_ky!B11*3/10)^2)</x:f>
        <x:v>0.0007538461538461455</x:v>
      </x:c>
      <x:c r="C74" s="4" t="n">
        <x:f>Chu_ky!C11*(Chu_ky!D11*Tinh_toan_x2!E14*Tinh_toan_x2!E17+F74)</x:f>
        <x:v>24307.918153846156</x:v>
      </x:c>
      <x:c r="D74" s="4" t="n">
        <x:f>E74*B74*2*Tinh_toan_x2!E13/Tinh_toan_x2!E12</x:f>
        <x:v>18.92584147337257</x:v>
      </x:c>
      <x:c r="E74" s="4" t="n">
        <x:f>C74*Tinh_toan_x2!E12/(2*Tinh_toan_x2!E15*Tinh_toan_x2!E13)+(Tinh_toan_x2!C48+Tinh_toan_x2!E52+Tinh_toan_x2!E53/Tinh_toan_x2!E13^2)*2*Tinh_toan_x2!E13/Tinh_toan_x2!E12*F74</x:f>
        <x:v>31.38213509615385</x:v>
      </x:c>
      <x:c r="F74" s="4" t="n">
        <x:f>Chu_ky!D11*(Chu_ky!F11+Chu_ky!E11*(Chu_ky!B11*3/10))</x:f>
        <x:v>-0.008615384615384617</x:v>
      </x:c>
      <x:c r="G74" s="4" t="n">
        <x:f>Chu_ky!D11*Chu_ky!E11</x:f>
        <x:v>0.04923076923076924</x:v>
      </x:c>
      <x:c r="H74" s="4" t="str">
        <x:f>Chu_ky!A11</x:f>
        <x:v>Có tải giảm j+</x:v>
      </x:c>
      <x:c r="I74" s="15"/>
      <x:c r="J74" s="15"/>
      <x:c r="K74" s="15"/>
      <x:c r="L74" s="15"/>
      <x:c r="M74" s="15"/>
      <x:c r="N74" s="15"/>
    </x:row>
    <x:row r="75" ht="32" customHeight="1">
      <x:c r="A75" s="3" t="n">
        <x:f>Chu_ky!H11+(Chu_ky!B11*4/10)</x:f>
        <x:v>91.85</x:v>
      </x:c>
      <x:c r="B75" s="4" t="n">
        <x:f>Chu_ky!D11*(Chu_ky!G11+Chu_ky!F11*(Chu_ky!B11*4/10)+0.5*Chu_ky!E11*(Chu_ky!B11*4/10)^2)</x:f>
        <x:v>0.0005538461538461454</x:v>
      </x:c>
      <x:c r="C75" s="4" t="n">
        <x:f>Chu_ky!C11*(Chu_ky!D11*Tinh_toan_x2!E14*Tinh_toan_x2!E17+F75)</x:f>
        <x:v>24323.23384615385</x:v>
      </x:c>
      <x:c r="D75" s="4" t="n">
        <x:f>E75*B75*2*Tinh_toan_x2!E13/Tinh_toan_x2!E12</x:f>
        <x:v>13.930549988165472</x:v>
      </x:c>
      <x:c r="E75" s="4" t="n">
        <x:f>C75*Tinh_toan_x2!E12/(2*Tinh_toan_x2!E15*Tinh_toan_x2!E13)+(Tinh_toan_x2!C48+Tinh_toan_x2!E52+Tinh_toan_x2!E53/Tinh_toan_x2!E13^2)*2*Tinh_toan_x2!E13/Tinh_toan_x2!E12*F75</x:f>
        <x:v>31.44047740384616</x:v>
      </x:c>
      <x:c r="F75" s="4" t="n">
        <x:f>Chu_ky!D11*(Chu_ky!F11+Chu_ky!E11*(Chu_ky!B11*4/10))</x:f>
        <x:v>-0.007384615384615385</x:v>
      </x:c>
      <x:c r="G75" s="4" t="n">
        <x:f>Chu_ky!D11*Chu_ky!E11</x:f>
        <x:v>0.04923076923076924</x:v>
      </x:c>
      <x:c r="H75" s="4" t="str">
        <x:f>Chu_ky!A11</x:f>
        <x:v>Có tải giảm j+</x:v>
      </x:c>
      <x:c r="I75" s="15"/>
      <x:c r="J75" s="15"/>
      <x:c r="K75" s="15"/>
      <x:c r="L75" s="15"/>
      <x:c r="M75" s="15"/>
      <x:c r="N75" s="15"/>
    </x:row>
    <x:row r="76" ht="32" customHeight="1">
      <x:c r="A76" s="3" t="n">
        <x:f>Chu_ky!H11+(Chu_ky!B11*5/10)</x:f>
        <x:v>91.875</x:v>
      </x:c>
      <x:c r="B76" s="4" t="n">
        <x:f>Chu_ky!D11*(Chu_ky!G11+Chu_ky!F11*(Chu_ky!B11*5/10)+0.5*Chu_ky!E11*(Chu_ky!B11*5/10)^2)</x:f>
        <x:v>0.0003846153846153762</x:v>
      </x:c>
      <x:c r="C76" s="4" t="n">
        <x:f>Chu_ky!C11*(Chu_ky!D11*Tinh_toan_x2!E14*Tinh_toan_x2!E17+F76)</x:f>
        <x:v>24338.54953846154</x:v>
      </x:c>
      <x:c r="D76" s="4" t="n">
        <x:f>E76*B76*2*Tinh_toan_x2!E13/Tinh_toan_x2!E12</x:f>
        <x:v>9.691944526627008</x:v>
      </x:c>
      <x:c r="E76" s="4" t="n">
        <x:f>C76*Tinh_toan_x2!E12/(2*Tinh_toan_x2!E15*Tinh_toan_x2!E13)+(Tinh_toan_x2!C48+Tinh_toan_x2!E52+Tinh_toan_x2!E53/Tinh_toan_x2!E13^2)*2*Tinh_toan_x2!E13/Tinh_toan_x2!E12*F76</x:f>
        <x:v>31.498819711538463</x:v>
      </x:c>
      <x:c r="F76" s="4" t="n">
        <x:f>Chu_ky!D11*(Chu_ky!F11+Chu_ky!E11*(Chu_ky!B11*5/10))</x:f>
        <x:v>-0.006153846153846155</x:v>
      </x:c>
      <x:c r="G76" s="4" t="n">
        <x:f>Chu_ky!D11*Chu_ky!E11</x:f>
        <x:v>0.04923076923076924</x:v>
      </x:c>
      <x:c r="H76" s="4" t="str">
        <x:f>Chu_ky!A11</x:f>
        <x:v>Có tải giảm j+</x:v>
      </x:c>
      <x:c r="I76" s="15"/>
      <x:c r="J76" s="15"/>
      <x:c r="K76" s="15"/>
      <x:c r="L76" s="15"/>
      <x:c r="M76" s="15"/>
      <x:c r="N76" s="15"/>
    </x:row>
    <x:row r="77" ht="32" customHeight="1">
      <x:c r="A77" s="3" t="n">
        <x:f>Chu_ky!H11+(Chu_ky!B11*6/10)</x:f>
        <x:v>91.9</x:v>
      </x:c>
      <x:c r="B77" s="4" t="n">
        <x:f>Chu_ky!D11*(Chu_ky!G11+Chu_ky!F11*(Chu_ky!B11*6/10)+0.5*Chu_ky!E11*(Chu_ky!B11*6/10)^2)</x:f>
        <x:v>0.0002461538461538378</x:v>
      </x:c>
      <x:c r="C77" s="4" t="n">
        <x:f>Chu_ky!C11*(Chu_ky!D11*Tinh_toan_x2!E14*Tinh_toan_x2!E17+F77)</x:f>
        <x:v>24353.865230769232</x:v>
      </x:c>
      <x:c r="D77" s="4" t="n">
        <x:f>E77*B77*2*Tinh_toan_x2!E13/Tinh_toan_x2!E12</x:f>
        <x:v>6.214333443786772</x:v>
      </x:c>
      <x:c r="E77" s="4" t="n">
        <x:f>C77*Tinh_toan_x2!E12/(2*Tinh_toan_x2!E15*Tinh_toan_x2!E13)+(Tinh_toan_x2!C48+Tinh_toan_x2!E52+Tinh_toan_x2!E53/Tinh_toan_x2!E13^2)*2*Tinh_toan_x2!E13/Tinh_toan_x2!E12*F77</x:f>
        <x:v>31.55716201923077</x:v>
      </x:c>
      <x:c r="F77" s="4" t="n">
        <x:f>Chu_ky!D11*(Chu_ky!F11+Chu_ky!E11*(Chu_ky!B11*6/10))</x:f>
        <x:v>-0.004923076923076924</x:v>
      </x:c>
      <x:c r="G77" s="4" t="n">
        <x:f>Chu_ky!D11*Chu_ky!E11</x:f>
        <x:v>0.04923076923076924</x:v>
      </x:c>
      <x:c r="H77" s="4" t="str">
        <x:f>Chu_ky!A11</x:f>
        <x:v>Có tải giảm j+</x:v>
      </x:c>
      <x:c r="I77" s="15"/>
      <x:c r="J77" s="15"/>
      <x:c r="K77" s="15"/>
      <x:c r="L77" s="15"/>
      <x:c r="M77" s="15"/>
      <x:c r="N77" s="15"/>
    </x:row>
    <x:row r="78" ht="32" customHeight="1">
      <x:c r="A78" s="3" t="n">
        <x:f>Chu_ky!H11+(Chu_ky!B11*7/10)</x:f>
        <x:v>91.925</x:v>
      </x:c>
      <x:c r="B78" s="4" t="n">
        <x:f>Chu_ky!D11*(Chu_ky!G11+Chu_ky!F11*(Chu_ky!B11*7/10)+0.5*Chu_ky!E11*(Chu_ky!B11*7/10)^2)</x:f>
        <x:v>0.0001384615384615299</x:v>
      </x:c>
      <x:c r="C78" s="4" t="n">
        <x:f>Chu_ky!C11*(Chu_ky!D11*Tinh_toan_x2!E14*Tinh_toan_x2!E17+F78)</x:f>
        <x:v>24369.180923076925</x:v>
      </x:c>
      <x:c r="D78" s="4" t="n">
        <x:f>E78*B78*2*Tinh_toan_x2!E13/Tinh_toan_x2!E12</x:f>
        <x:v>3.50202509467434</x:v>
      </x:c>
      <x:c r="E78" s="4" t="n">
        <x:f>C78*Tinh_toan_x2!E12/(2*Tinh_toan_x2!E15*Tinh_toan_x2!E13)+(Tinh_toan_x2!C48+Tinh_toan_x2!E52+Tinh_toan_x2!E53/Tinh_toan_x2!E13^2)*2*Tinh_toan_x2!E13/Tinh_toan_x2!E12*F78</x:f>
        <x:v>31.615504326923077</x:v>
      </x:c>
      <x:c r="F78" s="4" t="n">
        <x:f>Chu_ky!D11*(Chu_ky!F11+Chu_ky!E11*(Chu_ky!B11*7/10))</x:f>
        <x:v>-0.0036923076923076927</x:v>
      </x:c>
      <x:c r="G78" s="4" t="n">
        <x:f>Chu_ky!D11*Chu_ky!E11</x:f>
        <x:v>0.04923076923076924</x:v>
      </x:c>
      <x:c r="H78" s="4" t="str">
        <x:f>Chu_ky!A11</x:f>
        <x:v>Có tải giảm j+</x:v>
      </x:c>
      <x:c r="I78" s="15"/>
      <x:c r="J78" s="15"/>
      <x:c r="K78" s="15"/>
      <x:c r="L78" s="15"/>
      <x:c r="M78" s="15"/>
      <x:c r="N78" s="15"/>
    </x:row>
    <x:row r="79" ht="32" customHeight="1">
      <x:c r="A79" s="3" t="n">
        <x:f>Chu_ky!H11+(Chu_ky!B11*8/10)</x:f>
        <x:v>91.95</x:v>
      </x:c>
      <x:c r="B79" s="4" t="n">
        <x:f>Chu_ky!D11*(Chu_ky!G11+Chu_ky!F11*(Chu_ky!B11*8/10)+0.5*Chu_ky!E11*(Chu_ky!B11*8/10)^2)</x:f>
        <x:v>0.00006153846153845316</x:v>
      </x:c>
      <x:c r="C79" s="4" t="n">
        <x:f>Chu_ky!C11*(Chu_ky!D11*Tinh_toan_x2!E14*Tinh_toan_x2!E17+F79)</x:f>
        <x:v>24384.496615384618</x:v>
      </x:c>
      <x:c r="D79" s="4" t="n">
        <x:f>E79*B79*2*Tinh_toan_x2!E13/Tinh_toan_x2!E12</x:f>
        <x:v>1.5593278343193147</x:v>
      </x:c>
      <x:c r="E79" s="4" t="n">
        <x:f>C79*Tinh_toan_x2!E12/(2*Tinh_toan_x2!E15*Tinh_toan_x2!E13)+(Tinh_toan_x2!C48+Tinh_toan_x2!E52+Tinh_toan_x2!E53/Tinh_toan_x2!E13^2)*2*Tinh_toan_x2!E13/Tinh_toan_x2!E12*F79</x:f>
        <x:v>31.67384663461539</x:v>
      </x:c>
      <x:c r="F79" s="4" t="n">
        <x:f>Chu_ky!D11*(Chu_ky!F11+Chu_ky!E11*(Chu_ky!B11*8/10))</x:f>
        <x:v>-0.002461538461538461</x:v>
      </x:c>
      <x:c r="G79" s="4" t="n">
        <x:f>Chu_ky!D11*Chu_ky!E11</x:f>
        <x:v>0.04923076923076924</x:v>
      </x:c>
      <x:c r="H79" s="4" t="str">
        <x:f>Chu_ky!A11</x:f>
        <x:v>Có tải giảm j+</x:v>
      </x:c>
      <x:c r="I79" s="15"/>
      <x:c r="J79" s="15"/>
      <x:c r="K79" s="15"/>
      <x:c r="L79" s="15"/>
      <x:c r="M79" s="15"/>
      <x:c r="N79" s="15"/>
    </x:row>
    <x:row r="80" ht="32" customHeight="1">
      <x:c r="A80" s="3" t="n">
        <x:f>Chu_ky!H11+(Chu_ky!B11*9/10)</x:f>
        <x:v>91.975</x:v>
      </x:c>
      <x:c r="B80" s="4" t="n">
        <x:f>Chu_ky!D11*(Chu_ky!G11+Chu_ky!F11*(Chu_ky!B11*9/10)+0.5*Chu_ky!E11*(Chu_ky!B11*9/10)^2)</x:f>
        <x:v>0.00001538461538460722</x:v>
      </x:c>
      <x:c r="C80" s="4" t="n">
        <x:f>Chu_ky!C11*(Chu_ky!D11*Tinh_toan_x2!E14*Tinh_toan_x2!E17+F80)</x:f>
        <x:v>24399.81230769231</x:v>
      </x:c>
      <x:c r="D80" s="4" t="n">
        <x:f>E80*B80*2*Tinh_toan_x2!E13/Tinh_toan_x2!E12</x:f>
        <x:v>0.390550017751272</x:v>
      </x:c>
      <x:c r="E80" s="4" t="n">
        <x:f>C80*Tinh_toan_x2!E12/(2*Tinh_toan_x2!E15*Tinh_toan_x2!E13)+(Tinh_toan_x2!C48+Tinh_toan_x2!E52+Tinh_toan_x2!E53/Tinh_toan_x2!E13^2)*2*Tinh_toan_x2!E13/Tinh_toan_x2!E12*F80</x:f>
        <x:v>31.732188942307697</x:v>
      </x:c>
      <x:c r="F80" s="4" t="n">
        <x:f>Chu_ky!D11*(Chu_ky!F11+Chu_ky!E11*(Chu_ky!B11*9/10))</x:f>
        <x:v>-0.0012307692307692315</x:v>
      </x:c>
      <x:c r="G80" s="4" t="n">
        <x:f>Chu_ky!D11*Chu_ky!E11</x:f>
        <x:v>0.04923076923076924</x:v>
      </x:c>
      <x:c r="H80" s="4" t="str">
        <x:f>Chu_ky!A11</x:f>
        <x:v>Có tải giảm j+</x:v>
      </x:c>
      <x:c r="I80" s="15"/>
      <x:c r="J80" s="15"/>
      <x:c r="K80" s="15"/>
      <x:c r="L80" s="15"/>
      <x:c r="M80" s="15"/>
      <x:c r="N80" s="15"/>
    </x:row>
    <x:row r="81" ht="32" customHeight="1">
      <x:c r="A81" s="3" t="n">
        <x:f>Chu_ky!H11+(Chu_ky!B11*10/10)</x:f>
        <x:v>92</x:v>
      </x:c>
      <x:c r="B81" s="4" t="n">
        <x:f>Chu_ky!D11*(Chu_ky!G11+Chu_ky!F11*(Chu_ky!B11*10/10)+0.5*Chu_ky!E11*(Chu_ky!B11*10/10)^2)</x:f>
        <x:v>-8.456776945386935e-18</x:v>
      </x:c>
      <x:c r="C81" s="4" t="n">
        <x:f>Chu_ky!C11*(Chu_ky!D11*Tinh_toan_x2!E14*Tinh_toan_x2!E17+F81)</x:f>
        <x:v>24415.128</x:v>
      </x:c>
      <x:c r="D81" s="4" t="n">
        <x:f>E81*B81*2*Tinh_toan_x2!E13/Tinh_toan_x2!E12</x:f>
        <x:v>-2.150763454052823e-13</x:v>
      </x:c>
      <x:c r="E81" s="4" t="n">
        <x:f>C81*Tinh_toan_x2!E12/(2*Tinh_toan_x2!E15*Tinh_toan_x2!E13)+(Tinh_toan_x2!C48+Tinh_toan_x2!E52+Tinh_toan_x2!E53/Tinh_toan_x2!E13^2)*2*Tinh_toan_x2!E13/Tinh_toan_x2!E12*F81</x:f>
        <x:v>31.79053125</x:v>
      </x:c>
      <x:c r="F81" s="4" t="n">
        <x:f>Chu_ky!D11*(Chu_ky!F11+Chu_ky!E11*(Chu_ky!B11*10/10))</x:f>
        <x:v>0</x:v>
      </x:c>
      <x:c r="G81" s="4" t="n">
        <x:f>Chu_ky!D11*Chu_ky!E11</x:f>
        <x:v>0.04923076923076924</x:v>
      </x:c>
      <x:c r="H81" s="4" t="str">
        <x:f>Chu_ky!A11</x:f>
        <x:v>Có tải giảm j+</x:v>
      </x:c>
      <x:c r="I81" s="15"/>
      <x:c r="J81" s="15"/>
      <x:c r="K81" s="15"/>
      <x:c r="L81" s="15"/>
      <x:c r="M81" s="15"/>
      <x:c r="N81" s="15"/>
    </x:row>
    <x:row r="82" ht="32" customHeight="1">
      <x:c r="A82" s="3" t="n">
        <x:f>Chu_ky!H12+(Chu_ky!B12*0/10)</x:f>
        <x:v>92</x:v>
      </x:c>
      <x:c r="B82" s="4" t="n">
        <x:f>Chu_ky!D12*(Chu_ky!G12+Chu_ky!F12*(Chu_ky!B12*0/10)+0.5*Chu_ky!E12*(Chu_ky!B12*0/10)^2)</x:f>
        <x:v>0</x:v>
      </x:c>
      <x:c r="C82" s="4" t="n">
        <x:f>Chu_ky!C12*(Chu_ky!D12*Tinh_toan_x2!E14*Tinh_toan_x2!E17+F82)</x:f>
        <x:v>0</x:v>
      </x:c>
      <x:c r="D82" s="4" t="n">
        <x:f>E82*B82*2*Tinh_toan_x2!E13/Tinh_toan_x2!E12</x:f>
        <x:v>0</x:v>
      </x:c>
      <x:c r="E82" s="4" t="n">
        <x:f>C82*Tinh_toan_x2!E12/(2*Tinh_toan_x2!E15*Tinh_toan_x2!E13)+(Tinh_toan_x2!C48+Tinh_toan_x2!E52+Tinh_toan_x2!E53/Tinh_toan_x2!E13^2)*2*Tinh_toan_x2!E13/Tinh_toan_x2!E12*F82</x:f>
        <x:v>0</x:v>
      </x:c>
      <x:c r="F82" s="4" t="n">
        <x:f>Chu_ky!D12*(Chu_ky!F12+Chu_ky!E12*(Chu_ky!B12*0/10))</x:f>
        <x:v>0</x:v>
      </x:c>
      <x:c r="G82" s="4" t="n">
        <x:f>Chu_ky!D12*Chu_ky!E12</x:f>
        <x:v>0</x:v>
      </x:c>
      <x:c r="H82" s="4" t="str">
        <x:f>Chu_ky!A12</x:f>
        <x:v>Nghỉ</x:v>
      </x:c>
      <x:c r="I82" s="15"/>
      <x:c r="J82" s="15"/>
      <x:c r="K82" s="15"/>
      <x:c r="L82" s="15"/>
      <x:c r="M82" s="15"/>
      <x:c r="N82" s="15"/>
    </x:row>
    <x:row r="83" ht="32" customHeight="1">
      <x:c r="A83" s="3" t="n">
        <x:f>Chu_ky!H12+(Chu_ky!B12*1/10)</x:f>
        <x:v>95</x:v>
      </x:c>
      <x:c r="B83" s="4" t="n">
        <x:f>Chu_ky!D12*(Chu_ky!G12+Chu_ky!F12*(Chu_ky!B12*1/10)+0.5*Chu_ky!E12*(Chu_ky!B12*1/10)^2)</x:f>
        <x:v>0</x:v>
      </x:c>
      <x:c r="C83" s="4" t="n">
        <x:f>Chu_ky!C12*(Chu_ky!D12*Tinh_toan_x2!E14*Tinh_toan_x2!E17+F83)</x:f>
        <x:v>0</x:v>
      </x:c>
      <x:c r="D83" s="4" t="n">
        <x:f>E83*B83*2*Tinh_toan_x2!E13/Tinh_toan_x2!E12</x:f>
        <x:v>0</x:v>
      </x:c>
      <x:c r="E83" s="4" t="n">
        <x:f>C83*Tinh_toan_x2!E12/(2*Tinh_toan_x2!E15*Tinh_toan_x2!E13)+(Tinh_toan_x2!C48+Tinh_toan_x2!E52+Tinh_toan_x2!E53/Tinh_toan_x2!E13^2)*2*Tinh_toan_x2!E13/Tinh_toan_x2!E12*F83</x:f>
        <x:v>0</x:v>
      </x:c>
      <x:c r="F83" s="4" t="n">
        <x:f>Chu_ky!D12*(Chu_ky!F12+Chu_ky!E12*(Chu_ky!B12*1/10))</x:f>
        <x:v>0</x:v>
      </x:c>
      <x:c r="G83" s="4" t="n">
        <x:f>Chu_ky!D12*Chu_ky!E12</x:f>
        <x:v>0</x:v>
      </x:c>
      <x:c r="H83" s="4" t="str">
        <x:f>Chu_ky!A12</x:f>
        <x:v>Nghỉ</x:v>
      </x:c>
      <x:c r="I83" s="15"/>
      <x:c r="J83" s="15"/>
      <x:c r="K83" s="15"/>
      <x:c r="L83" s="15"/>
      <x:c r="M83" s="15"/>
      <x:c r="N83" s="15"/>
    </x:row>
    <x:row r="84" ht="32" customHeight="1">
      <x:c r="A84" s="3" t="n">
        <x:f>Chu_ky!H12+(Chu_ky!B12*2/10)</x:f>
        <x:v>98</x:v>
      </x:c>
      <x:c r="B84" s="4" t="n">
        <x:f>Chu_ky!D12*(Chu_ky!G12+Chu_ky!F12*(Chu_ky!B12*2/10)+0.5*Chu_ky!E12*(Chu_ky!B12*2/10)^2)</x:f>
        <x:v>0</x:v>
      </x:c>
      <x:c r="C84" s="4" t="n">
        <x:f>Chu_ky!C12*(Chu_ky!D12*Tinh_toan_x2!E14*Tinh_toan_x2!E17+F84)</x:f>
        <x:v>0</x:v>
      </x:c>
      <x:c r="D84" s="4" t="n">
        <x:f>E84*B84*2*Tinh_toan_x2!E13/Tinh_toan_x2!E12</x:f>
        <x:v>0</x:v>
      </x:c>
      <x:c r="E84" s="4" t="n">
        <x:f>C84*Tinh_toan_x2!E12/(2*Tinh_toan_x2!E15*Tinh_toan_x2!E13)+(Tinh_toan_x2!C48+Tinh_toan_x2!E52+Tinh_toan_x2!E53/Tinh_toan_x2!E13^2)*2*Tinh_toan_x2!E13/Tinh_toan_x2!E12*F84</x:f>
        <x:v>0</x:v>
      </x:c>
      <x:c r="F84" s="4" t="n">
        <x:f>Chu_ky!D12*(Chu_ky!F12+Chu_ky!E12*(Chu_ky!B12*2/10))</x:f>
        <x:v>0</x:v>
      </x:c>
      <x:c r="G84" s="4" t="n">
        <x:f>Chu_ky!D12*Chu_ky!E12</x:f>
        <x:v>0</x:v>
      </x:c>
      <x:c r="H84" s="4" t="str">
        <x:f>Chu_ky!A12</x:f>
        <x:v>Nghỉ</x:v>
      </x:c>
      <x:c r="I84" s="15"/>
      <x:c r="J84" s="15"/>
      <x:c r="K84" s="15"/>
      <x:c r="L84" s="15"/>
      <x:c r="M84" s="15"/>
      <x:c r="N84" s="15"/>
    </x:row>
    <x:row r="85" ht="32" customHeight="1">
      <x:c r="A85" s="3" t="n">
        <x:f>Chu_ky!H12+(Chu_ky!B12*3/10)</x:f>
        <x:v>101</x:v>
      </x:c>
      <x:c r="B85" s="4" t="n">
        <x:f>Chu_ky!D12*(Chu_ky!G12+Chu_ky!F12*(Chu_ky!B12*3/10)+0.5*Chu_ky!E12*(Chu_ky!B12*3/10)^2)</x:f>
        <x:v>0</x:v>
      </x:c>
      <x:c r="C85" s="4" t="n">
        <x:f>Chu_ky!C12*(Chu_ky!D12*Tinh_toan_x2!E14*Tinh_toan_x2!E17+F85)</x:f>
        <x:v>0</x:v>
      </x:c>
      <x:c r="D85" s="4" t="n">
        <x:f>E85*B85*2*Tinh_toan_x2!E13/Tinh_toan_x2!E12</x:f>
        <x:v>0</x:v>
      </x:c>
      <x:c r="E85" s="4" t="n">
        <x:f>C85*Tinh_toan_x2!E12/(2*Tinh_toan_x2!E15*Tinh_toan_x2!E13)+(Tinh_toan_x2!C48+Tinh_toan_x2!E52+Tinh_toan_x2!E53/Tinh_toan_x2!E13^2)*2*Tinh_toan_x2!E13/Tinh_toan_x2!E12*F85</x:f>
        <x:v>0</x:v>
      </x:c>
      <x:c r="F85" s="4" t="n">
        <x:f>Chu_ky!D12*(Chu_ky!F12+Chu_ky!E12*(Chu_ky!B12*3/10))</x:f>
        <x:v>0</x:v>
      </x:c>
      <x:c r="G85" s="4" t="n">
        <x:f>Chu_ky!D12*Chu_ky!E12</x:f>
        <x:v>0</x:v>
      </x:c>
      <x:c r="H85" s="4" t="str">
        <x:f>Chu_ky!A12</x:f>
        <x:v>Nghỉ</x:v>
      </x:c>
      <x:c r="I85" s="15"/>
      <x:c r="J85" s="15"/>
      <x:c r="K85" s="15"/>
      <x:c r="L85" s="15"/>
      <x:c r="M85" s="15"/>
      <x:c r="N85" s="15"/>
    </x:row>
    <x:row r="86" ht="32" customHeight="1">
      <x:c r="A86" s="3" t="n">
        <x:f>Chu_ky!H12+(Chu_ky!B12*4/10)</x:f>
        <x:v>104</x:v>
      </x:c>
      <x:c r="B86" s="4" t="n">
        <x:f>Chu_ky!D12*(Chu_ky!G12+Chu_ky!F12*(Chu_ky!B12*4/10)+0.5*Chu_ky!E12*(Chu_ky!B12*4/10)^2)</x:f>
        <x:v>0</x:v>
      </x:c>
      <x:c r="C86" s="4" t="n">
        <x:f>Chu_ky!C12*(Chu_ky!D12*Tinh_toan_x2!E14*Tinh_toan_x2!E17+F86)</x:f>
        <x:v>0</x:v>
      </x:c>
      <x:c r="D86" s="4" t="n">
        <x:f>E86*B86*2*Tinh_toan_x2!E13/Tinh_toan_x2!E12</x:f>
        <x:v>0</x:v>
      </x:c>
      <x:c r="E86" s="4" t="n">
        <x:f>C86*Tinh_toan_x2!E12/(2*Tinh_toan_x2!E15*Tinh_toan_x2!E13)+(Tinh_toan_x2!C48+Tinh_toan_x2!E52+Tinh_toan_x2!E53/Tinh_toan_x2!E13^2)*2*Tinh_toan_x2!E13/Tinh_toan_x2!E12*F86</x:f>
        <x:v>0</x:v>
      </x:c>
      <x:c r="F86" s="4" t="n">
        <x:f>Chu_ky!D12*(Chu_ky!F12+Chu_ky!E12*(Chu_ky!B12*4/10))</x:f>
        <x:v>0</x:v>
      </x:c>
      <x:c r="G86" s="4" t="n">
        <x:f>Chu_ky!D12*Chu_ky!E12</x:f>
        <x:v>0</x:v>
      </x:c>
      <x:c r="H86" s="4" t="str">
        <x:f>Chu_ky!A12</x:f>
        <x:v>Nghỉ</x:v>
      </x:c>
      <x:c r="I86" s="15"/>
      <x:c r="J86" s="15"/>
      <x:c r="K86" s="15"/>
      <x:c r="L86" s="15"/>
      <x:c r="M86" s="15"/>
      <x:c r="N86" s="15"/>
    </x:row>
    <x:row r="87" ht="32" customHeight="1">
      <x:c r="A87" s="3" t="n">
        <x:f>Chu_ky!H12+(Chu_ky!B12*5/10)</x:f>
        <x:v>107</x:v>
      </x:c>
      <x:c r="B87" s="4" t="n">
        <x:f>Chu_ky!D12*(Chu_ky!G12+Chu_ky!F12*(Chu_ky!B12*5/10)+0.5*Chu_ky!E12*(Chu_ky!B12*5/10)^2)</x:f>
        <x:v>0</x:v>
      </x:c>
      <x:c r="C87" s="4" t="n">
        <x:f>Chu_ky!C12*(Chu_ky!D12*Tinh_toan_x2!E14*Tinh_toan_x2!E17+F87)</x:f>
        <x:v>0</x:v>
      </x:c>
      <x:c r="D87" s="4" t="n">
        <x:f>E87*B87*2*Tinh_toan_x2!E13/Tinh_toan_x2!E12</x:f>
        <x:v>0</x:v>
      </x:c>
      <x:c r="E87" s="4" t="n">
        <x:f>C87*Tinh_toan_x2!E12/(2*Tinh_toan_x2!E15*Tinh_toan_x2!E13)+(Tinh_toan_x2!C48+Tinh_toan_x2!E52+Tinh_toan_x2!E53/Tinh_toan_x2!E13^2)*2*Tinh_toan_x2!E13/Tinh_toan_x2!E12*F87</x:f>
        <x:v>0</x:v>
      </x:c>
      <x:c r="F87" s="4" t="n">
        <x:f>Chu_ky!D12*(Chu_ky!F12+Chu_ky!E12*(Chu_ky!B12*5/10))</x:f>
        <x:v>0</x:v>
      </x:c>
      <x:c r="G87" s="4" t="n">
        <x:f>Chu_ky!D12*Chu_ky!E12</x:f>
        <x:v>0</x:v>
      </x:c>
      <x:c r="H87" s="4" t="str">
        <x:f>Chu_ky!A12</x:f>
        <x:v>Nghỉ</x:v>
      </x:c>
      <x:c r="I87" s="15"/>
      <x:c r="J87" s="15"/>
      <x:c r="K87" s="15"/>
      <x:c r="L87" s="15"/>
      <x:c r="M87" s="15"/>
      <x:c r="N87" s="15"/>
    </x:row>
    <x:row r="88" ht="32" customHeight="1">
      <x:c r="A88" s="3" t="n">
        <x:f>Chu_ky!H12+(Chu_ky!B12*6/10)</x:f>
        <x:v>110</x:v>
      </x:c>
      <x:c r="B88" s="4" t="n">
        <x:f>Chu_ky!D12*(Chu_ky!G12+Chu_ky!F12*(Chu_ky!B12*6/10)+0.5*Chu_ky!E12*(Chu_ky!B12*6/10)^2)</x:f>
        <x:v>0</x:v>
      </x:c>
      <x:c r="C88" s="4" t="n">
        <x:f>Chu_ky!C12*(Chu_ky!D12*Tinh_toan_x2!E14*Tinh_toan_x2!E17+F88)</x:f>
        <x:v>0</x:v>
      </x:c>
      <x:c r="D88" s="4" t="n">
        <x:f>E88*B88*2*Tinh_toan_x2!E13/Tinh_toan_x2!E12</x:f>
        <x:v>0</x:v>
      </x:c>
      <x:c r="E88" s="4" t="n">
        <x:f>C88*Tinh_toan_x2!E12/(2*Tinh_toan_x2!E15*Tinh_toan_x2!E13)+(Tinh_toan_x2!C48+Tinh_toan_x2!E52+Tinh_toan_x2!E53/Tinh_toan_x2!E13^2)*2*Tinh_toan_x2!E13/Tinh_toan_x2!E12*F88</x:f>
        <x:v>0</x:v>
      </x:c>
      <x:c r="F88" s="4" t="n">
        <x:f>Chu_ky!D12*(Chu_ky!F12+Chu_ky!E12*(Chu_ky!B12*6/10))</x:f>
        <x:v>0</x:v>
      </x:c>
      <x:c r="G88" s="4" t="n">
        <x:f>Chu_ky!D12*Chu_ky!E12</x:f>
        <x:v>0</x:v>
      </x:c>
      <x:c r="H88" s="4" t="str">
        <x:f>Chu_ky!A12</x:f>
        <x:v>Nghỉ</x:v>
      </x:c>
      <x:c r="I88" s="15"/>
      <x:c r="J88" s="15"/>
      <x:c r="K88" s="15"/>
      <x:c r="L88" s="15"/>
      <x:c r="M88" s="15"/>
      <x:c r="N88" s="15"/>
    </x:row>
    <x:row r="89" ht="32" customHeight="1">
      <x:c r="A89" s="3" t="n">
        <x:f>Chu_ky!H12+(Chu_ky!B12*7/10)</x:f>
        <x:v>113</x:v>
      </x:c>
      <x:c r="B89" s="4" t="n">
        <x:f>Chu_ky!D12*(Chu_ky!G12+Chu_ky!F12*(Chu_ky!B12*7/10)+0.5*Chu_ky!E12*(Chu_ky!B12*7/10)^2)</x:f>
        <x:v>0</x:v>
      </x:c>
      <x:c r="C89" s="4" t="n">
        <x:f>Chu_ky!C12*(Chu_ky!D12*Tinh_toan_x2!E14*Tinh_toan_x2!E17+F89)</x:f>
        <x:v>0</x:v>
      </x:c>
      <x:c r="D89" s="4" t="n">
        <x:f>E89*B89*2*Tinh_toan_x2!E13/Tinh_toan_x2!E12</x:f>
        <x:v>0</x:v>
      </x:c>
      <x:c r="E89" s="4" t="n">
        <x:f>C89*Tinh_toan_x2!E12/(2*Tinh_toan_x2!E15*Tinh_toan_x2!E13)+(Tinh_toan_x2!C48+Tinh_toan_x2!E52+Tinh_toan_x2!E53/Tinh_toan_x2!E13^2)*2*Tinh_toan_x2!E13/Tinh_toan_x2!E12*F89</x:f>
        <x:v>0</x:v>
      </x:c>
      <x:c r="F89" s="4" t="n">
        <x:f>Chu_ky!D12*(Chu_ky!F12+Chu_ky!E12*(Chu_ky!B12*7/10))</x:f>
        <x:v>0</x:v>
      </x:c>
      <x:c r="G89" s="4" t="n">
        <x:f>Chu_ky!D12*Chu_ky!E12</x:f>
        <x:v>0</x:v>
      </x:c>
      <x:c r="H89" s="4" t="str">
        <x:f>Chu_ky!A12</x:f>
        <x:v>Nghỉ</x:v>
      </x:c>
      <x:c r="I89" s="15"/>
      <x:c r="J89" s="15"/>
      <x:c r="K89" s="15"/>
      <x:c r="L89" s="15"/>
      <x:c r="M89" s="15"/>
      <x:c r="N89" s="15"/>
    </x:row>
    <x:row r="90" ht="32" customHeight="1">
      <x:c r="A90" s="3" t="n">
        <x:f>Chu_ky!H12+(Chu_ky!B12*8/10)</x:f>
        <x:v>116</x:v>
      </x:c>
      <x:c r="B90" s="4" t="n">
        <x:f>Chu_ky!D12*(Chu_ky!G12+Chu_ky!F12*(Chu_ky!B12*8/10)+0.5*Chu_ky!E12*(Chu_ky!B12*8/10)^2)</x:f>
        <x:v>0</x:v>
      </x:c>
      <x:c r="C90" s="4" t="n">
        <x:f>Chu_ky!C12*(Chu_ky!D12*Tinh_toan_x2!E14*Tinh_toan_x2!E17+F90)</x:f>
        <x:v>0</x:v>
      </x:c>
      <x:c r="D90" s="4" t="n">
        <x:f>E90*B90*2*Tinh_toan_x2!E13/Tinh_toan_x2!E12</x:f>
        <x:v>0</x:v>
      </x:c>
      <x:c r="E90" s="4" t="n">
        <x:f>C90*Tinh_toan_x2!E12/(2*Tinh_toan_x2!E15*Tinh_toan_x2!E13)+(Tinh_toan_x2!C48+Tinh_toan_x2!E52+Tinh_toan_x2!E53/Tinh_toan_x2!E13^2)*2*Tinh_toan_x2!E13/Tinh_toan_x2!E12*F90</x:f>
        <x:v>0</x:v>
      </x:c>
      <x:c r="F90" s="4" t="n">
        <x:f>Chu_ky!D12*(Chu_ky!F12+Chu_ky!E12*(Chu_ky!B12*8/10))</x:f>
        <x:v>0</x:v>
      </x:c>
      <x:c r="G90" s="4" t="n">
        <x:f>Chu_ky!D12*Chu_ky!E12</x:f>
        <x:v>0</x:v>
      </x:c>
      <x:c r="H90" s="4" t="str">
        <x:f>Chu_ky!A12</x:f>
        <x:v>Nghỉ</x:v>
      </x:c>
      <x:c r="I90" s="15"/>
      <x:c r="J90" s="15"/>
      <x:c r="K90" s="15"/>
      <x:c r="L90" s="15"/>
      <x:c r="M90" s="15"/>
      <x:c r="N90" s="15"/>
    </x:row>
    <x:row r="91" ht="32" customHeight="1">
      <x:c r="A91" s="3" t="n">
        <x:f>Chu_ky!H12+(Chu_ky!B12*9/10)</x:f>
        <x:v>119</x:v>
      </x:c>
      <x:c r="B91" s="4" t="n">
        <x:f>Chu_ky!D12*(Chu_ky!G12+Chu_ky!F12*(Chu_ky!B12*9/10)+0.5*Chu_ky!E12*(Chu_ky!B12*9/10)^2)</x:f>
        <x:v>0</x:v>
      </x:c>
      <x:c r="C91" s="4" t="n">
        <x:f>Chu_ky!C12*(Chu_ky!D12*Tinh_toan_x2!E14*Tinh_toan_x2!E17+F91)</x:f>
        <x:v>0</x:v>
      </x:c>
      <x:c r="D91" s="4" t="n">
        <x:f>E91*B91*2*Tinh_toan_x2!E13/Tinh_toan_x2!E12</x:f>
        <x:v>0</x:v>
      </x:c>
      <x:c r="E91" s="4" t="n">
        <x:f>C91*Tinh_toan_x2!E12/(2*Tinh_toan_x2!E15*Tinh_toan_x2!E13)+(Tinh_toan_x2!C48+Tinh_toan_x2!E52+Tinh_toan_x2!E53/Tinh_toan_x2!E13^2)*2*Tinh_toan_x2!E13/Tinh_toan_x2!E12*F91</x:f>
        <x:v>0</x:v>
      </x:c>
      <x:c r="F91" s="4" t="n">
        <x:f>Chu_ky!D12*(Chu_ky!F12+Chu_ky!E12*(Chu_ky!B12*9/10))</x:f>
        <x:v>0</x:v>
      </x:c>
      <x:c r="G91" s="4" t="n">
        <x:f>Chu_ky!D12*Chu_ky!E12</x:f>
        <x:v>0</x:v>
      </x:c>
      <x:c r="H91" s="4" t="str">
        <x:f>Chu_ky!A12</x:f>
        <x:v>Nghỉ</x:v>
      </x:c>
      <x:c r="I91" s="15"/>
      <x:c r="J91" s="15"/>
      <x:c r="K91" s="15"/>
      <x:c r="L91" s="15"/>
      <x:c r="M91" s="15"/>
      <x:c r="N91" s="15"/>
    </x:row>
    <x:row r="92" ht="32" customHeight="1">
      <x:c r="A92" s="3" t="n">
        <x:f>Chu_ky!H12+(Chu_ky!B12*10/10)</x:f>
        <x:v>122</x:v>
      </x:c>
      <x:c r="B92" s="4" t="n">
        <x:f>Chu_ky!D12*(Chu_ky!G12+Chu_ky!F12*(Chu_ky!B12*10/10)+0.5*Chu_ky!E12*(Chu_ky!B12*10/10)^2)</x:f>
        <x:v>0</x:v>
      </x:c>
      <x:c r="C92" s="4" t="n">
        <x:f>Chu_ky!C12*(Chu_ky!D12*Tinh_toan_x2!E14*Tinh_toan_x2!E17+F92)</x:f>
        <x:v>0</x:v>
      </x:c>
      <x:c r="D92" s="4" t="n">
        <x:f>E92*B92*2*Tinh_toan_x2!E13/Tinh_toan_x2!E12</x:f>
        <x:v>0</x:v>
      </x:c>
      <x:c r="E92" s="4" t="n">
        <x:f>C92*Tinh_toan_x2!E12/(2*Tinh_toan_x2!E15*Tinh_toan_x2!E13)+(Tinh_toan_x2!C48+Tinh_toan_x2!E52+Tinh_toan_x2!E53/Tinh_toan_x2!E13^2)*2*Tinh_toan_x2!E13/Tinh_toan_x2!E12*F92</x:f>
        <x:v>0</x:v>
      </x:c>
      <x:c r="F92" s="4" t="n">
        <x:f>Chu_ky!D12*(Chu_ky!F12+Chu_ky!E12*(Chu_ky!B12*10/10))</x:f>
        <x:v>0</x:v>
      </x:c>
      <x:c r="G92" s="4" t="n">
        <x:f>Chu_ky!D12*Chu_ky!E12</x:f>
        <x:v>0</x:v>
      </x:c>
      <x:c r="H92" s="4" t="str">
        <x:f>Chu_ky!A12</x:f>
        <x:v>Nghỉ</x:v>
      </x:c>
      <x:c r="I92" s="15"/>
      <x:c r="J92" s="15"/>
      <x:c r="K92" s="15"/>
      <x:c r="L92" s="15"/>
      <x:c r="M92" s="15"/>
      <x:c r="N92" s="15"/>
    </x:row>
    <x:row r="93" ht="32" customHeight="1">
      <x:c r="A93" s="3" t="n">
        <x:f>Chu_ky!H13+(Chu_ky!B13*0/10)</x:f>
        <x:v>122</x:v>
      </x:c>
      <x:c r="B93" s="4" t="n">
        <x:f>Chu_ky!D13*(Chu_ky!G13+Chu_ky!F13*(Chu_ky!B13*0/10)+0.5*Chu_ky!E13*(Chu_ky!B13*0/10)^2)</x:f>
        <x:v>0</x:v>
      </x:c>
      <x:c r="C93" s="4" t="n">
        <x:f>Chu_ky!C13*(Chu_ky!D13*Tinh_toan_x2!E14*Tinh_toan_x2!E17+F93)</x:f>
        <x:v>-435.564</x:v>
      </x:c>
      <x:c r="D93" s="4" t="n">
        <x:f>E93*B93*2*Tinh_toan_x2!E13/Tinh_toan_x2!E12</x:f>
        <x:v>0</x:v>
      </x:c>
      <x:c r="E93" s="4" t="n">
        <x:f>C93*Tinh_toan_x2!E12/(2*Tinh_toan_x2!E15*Tinh_toan_x2!E13)+(Tinh_toan_x2!C48+Tinh_toan_x2!E52+Tinh_toan_x2!E53/Tinh_toan_x2!E13^2)*2*Tinh_toan_x2!E13/Tinh_toan_x2!E12*F93</x:f>
        <x:v>-0.5671406250000001</x:v>
      </x:c>
      <x:c r="F93" s="4" t="n">
        <x:f>Chu_ky!D13*(Chu_ky!F13+Chu_ky!E13*(Chu_ky!B13*0/10))</x:f>
        <x:v>0</x:v>
      </x:c>
      <x:c r="G93" s="4" t="n">
        <x:f>Chu_ky!D13*Chu_ky!E13</x:f>
        <x:v>-0.2742857142857143</x:v>
      </x:c>
      <x:c r="H93" s="4" t="str">
        <x:f>Chu_ky!A13</x:f>
        <x:v>Không tải tăng j+</x:v>
      </x:c>
      <x:c r="I93" s="15"/>
      <x:c r="J93" s="15"/>
      <x:c r="K93" s="15"/>
      <x:c r="L93" s="15"/>
      <x:c r="M93" s="15"/>
      <x:c r="N93" s="15"/>
    </x:row>
    <x:row r="94" ht="32" customHeight="1">
      <x:c r="A94" s="3" t="n">
        <x:f>Chu_ky!H13+(Chu_ky!B13*1/10)</x:f>
        <x:v>122.025</x:v>
      </x:c>
      <x:c r="B94" s="4" t="n">
        <x:f>Chu_ky!D13*(Chu_ky!G13+Chu_ky!F13*(Chu_ky!B13*1/10)+0.5*Chu_ky!E13*(Chu_ky!B13*1/10)^2)</x:f>
        <x:v>-0.00008571428571428574</x:v>
      </x:c>
      <x:c r="C94" s="4" t="n">
        <x:f>Chu_ky!C13*(Chu_ky!D13*Tinh_toan_x2!E14*Tinh_toan_x2!E17+F94)</x:f>
        <x:v>-437.08628571428574</x:v>
      </x:c>
      <x:c r="D94" s="4" t="n">
        <x:f>E94*B94*2*Tinh_toan_x2!E13/Tinh_toan_x2!E12</x:f>
        <x:v>0.053695928571428596</x:v>
      </x:c>
      <x:c r="E94" s="4" t="n">
        <x:f>C94*Tinh_toan_x2!E12/(2*Tinh_toan_x2!E15*Tinh_toan_x2!E13)+(Tinh_toan_x2!C48+Tinh_toan_x2!E52+Tinh_toan_x2!E53/Tinh_toan_x2!E13^2)*2*Tinh_toan_x2!E13/Tinh_toan_x2!E12*F94</x:f>
        <x:v>-0.7830656250000001</x:v>
      </x:c>
      <x:c r="F94" s="4" t="n">
        <x:f>Chu_ky!D13*(Chu_ky!F13+Chu_ky!E13*(Chu_ky!B13*1/10))</x:f>
        <x:v>-0.006857142857142858</x:v>
      </x:c>
      <x:c r="G94" s="4" t="n">
        <x:f>Chu_ky!D13*Chu_ky!E13</x:f>
        <x:v>-0.2742857142857143</x:v>
      </x:c>
      <x:c r="H94" s="4" t="str">
        <x:f>Chu_ky!A13</x:f>
        <x:v>Không tải tăng j+</x:v>
      </x:c>
      <x:c r="I94" s="15"/>
      <x:c r="J94" s="15"/>
      <x:c r="K94" s="15"/>
      <x:c r="L94" s="15"/>
      <x:c r="M94" s="15"/>
      <x:c r="N94" s="15"/>
    </x:row>
    <x:row r="95" ht="32" customHeight="1">
      <x:c r="A95" s="3" t="n">
        <x:f>Chu_ky!H13+(Chu_ky!B13*2/10)</x:f>
        <x:v>122.05</x:v>
      </x:c>
      <x:c r="B95" s="4" t="n">
        <x:f>Chu_ky!D13*(Chu_ky!G13+Chu_ky!F13*(Chu_ky!B13*2/10)+0.5*Chu_ky!E13*(Chu_ky!B13*2/10)^2)</x:f>
        <x:v>-0.00034285714285714296</x:v>
      </x:c>
      <x:c r="C95" s="4" t="n">
        <x:f>Chu_ky!C13*(Chu_ky!D13*Tinh_toan_x2!E14*Tinh_toan_x2!E17+F95)</x:f>
        <x:v>-438.6085714285715</x:v>
      </x:c>
      <x:c r="D95" s="4" t="n">
        <x:f>E95*B95*2*Tinh_toan_x2!E13/Tinh_toan_x2!E12</x:f>
        <x:v>0.2740088571428573</x:v>
      </x:c>
      <x:c r="E95" s="4" t="n">
        <x:f>C95*Tinh_toan_x2!E12/(2*Tinh_toan_x2!E15*Tinh_toan_x2!E13)+(Tinh_toan_x2!C48+Tinh_toan_x2!E52+Tinh_toan_x2!E53/Tinh_toan_x2!E13^2)*2*Tinh_toan_x2!E13/Tinh_toan_x2!E12*F95</x:f>
        <x:v>-0.9989906250000001</x:v>
      </x:c>
      <x:c r="F95" s="4" t="n">
        <x:f>Chu_ky!D13*(Chu_ky!F13+Chu_ky!E13*(Chu_ky!B13*2/10))</x:f>
        <x:v>-0.013714285714285715</x:v>
      </x:c>
      <x:c r="G95" s="4" t="n">
        <x:f>Chu_ky!D13*Chu_ky!E13</x:f>
        <x:v>-0.2742857142857143</x:v>
      </x:c>
      <x:c r="H95" s="4" t="str">
        <x:f>Chu_ky!A13</x:f>
        <x:v>Không tải tăng j+</x:v>
      </x:c>
      <x:c r="I95" s="15"/>
      <x:c r="J95" s="15"/>
      <x:c r="K95" s="15"/>
      <x:c r="L95" s="15"/>
      <x:c r="M95" s="15"/>
      <x:c r="N95" s="15"/>
    </x:row>
    <x:row r="96" ht="32" customHeight="1">
      <x:c r="A96" s="3" t="n">
        <x:f>Chu_ky!H13+(Chu_ky!B13*3/10)</x:f>
        <x:v>122.075</x:v>
      </x:c>
      <x:c r="B96" s="3" t="n">
        <x:f>Chu_ky!D13*(Chu_ky!G13+Chu_ky!F13*(Chu_ky!B13*3/10)+0.5*Chu_ky!E13*(Chu_ky!B13*3/10)^2)</x:f>
        <x:v>-0.0007714285714285715</x:v>
      </x:c>
      <x:c r="C96" s="3" t="n">
        <x:f>Chu_ky!C13*(Chu_ky!D13*Tinh_toan_x2!E14*Tinh_toan_x2!E17+F96)</x:f>
        <x:v>-440.13085714285717</x:v>
      </x:c>
      <x:c r="D96" s="3" t="n">
        <x:f>E96*B96*2*Tinh_toan_x2!E13/Tinh_toan_x2!E12</x:f>
        <x:v>0.7497765000000001</x:v>
      </x:c>
      <x:c r="E96" s="3" t="n">
        <x:f>C96*Tinh_toan_x2!E12/(2*Tinh_toan_x2!E15*Tinh_toan_x2!E13)+(Tinh_toan_x2!C48+Tinh_toan_x2!E52+Tinh_toan_x2!E53/Tinh_toan_x2!E13^2)*2*Tinh_toan_x2!E13/Tinh_toan_x2!E12*F96</x:f>
        <x:v>-1.2149156250000002</x:v>
      </x:c>
      <x:c r="F96" s="3" t="n">
        <x:f>Chu_ky!D13*(Chu_ky!F13+Chu_ky!E13*(Chu_ky!B13*3/10))</x:f>
        <x:v>-0.02057142857142857</x:v>
      </x:c>
      <x:c r="G96" s="3" t="n">
        <x:f>Chu_ky!D13*Chu_ky!E13</x:f>
        <x:v>-0.2742857142857143</x:v>
      </x:c>
      <x:c r="H96" s="3" t="str">
        <x:f>Chu_ky!A13</x:f>
        <x:v>Không tải tăng j+</x:v>
      </x:c>
    </x:row>
    <x:row r="97" ht="32" customHeight="1">
      <x:c r="A97" s="3" t="n">
        <x:f>Chu_ky!H13+(Chu_ky!B13*4/10)</x:f>
        <x:v>122.1</x:v>
      </x:c>
      <x:c r="B97" s="3" t="n">
        <x:f>Chu_ky!D13*(Chu_ky!G13+Chu_ky!F13*(Chu_ky!B13*4/10)+0.5*Chu_ky!E13*(Chu_ky!B13*4/10)^2)</x:f>
        <x:v>-0.0013714285714285718</x:v>
      </x:c>
      <x:c r="C97" s="3" t="n">
        <x:f>Chu_ky!C13*(Chu_ky!D13*Tinh_toan_x2!E14*Tinh_toan_x2!E17+F97)</x:f>
        <x:v>-441.6531428571429</x:v>
      </x:c>
      <x:c r="D97" s="3" t="n">
        <x:f>E97*B97*2*Tinh_toan_x2!E13/Tinh_toan_x2!E12</x:f>
        <x:v>1.569836571428572</x:v>
      </x:c>
      <x:c r="E97" s="3" t="n">
        <x:f>C97*Tinh_toan_x2!E12/(2*Tinh_toan_x2!E15*Tinh_toan_x2!E13)+(Tinh_toan_x2!C48+Tinh_toan_x2!E52+Tinh_toan_x2!E53/Tinh_toan_x2!E13^2)*2*Tinh_toan_x2!E13/Tinh_toan_x2!E12*F97</x:f>
        <x:v>-1.430840625</x:v>
      </x:c>
      <x:c r="F97" s="3" t="n">
        <x:f>Chu_ky!D13*(Chu_ky!F13+Chu_ky!E13*(Chu_ky!B13*4/10))</x:f>
        <x:v>-0.02742857142857143</x:v>
      </x:c>
      <x:c r="G97" s="3" t="n">
        <x:f>Chu_ky!D13*Chu_ky!E13</x:f>
        <x:v>-0.2742857142857143</x:v>
      </x:c>
      <x:c r="H97" s="3" t="str">
        <x:f>Chu_ky!A13</x:f>
        <x:v>Không tải tăng j+</x:v>
      </x:c>
    </x:row>
    <x:row r="98" ht="32" customHeight="1">
      <x:c r="A98" s="3" t="n">
        <x:f>Chu_ky!H13+(Chu_ky!B13*5/10)</x:f>
        <x:v>122.125</x:v>
      </x:c>
      <x:c r="B98" s="3" t="n">
        <x:f>Chu_ky!D13*(Chu_ky!G13+Chu_ky!F13*(Chu_ky!B13*5/10)+0.5*Chu_ky!E13*(Chu_ky!B13*5/10)^2)</x:f>
        <x:v>-0.002142857142857143</x:v>
      </x:c>
      <x:c r="C98" s="3" t="n">
        <x:f>Chu_ky!C13*(Chu_ky!D13*Tinh_toan_x2!E14*Tinh_toan_x2!E17+F98)</x:f>
        <x:v>-443.1754285714286</x:v>
      </x:c>
      <x:c r="D98" s="3" t="n">
        <x:f>E98*B98*2*Tinh_toan_x2!E13/Tinh_toan_x2!E12</x:f>
        <x:v>2.823026785714286</x:v>
      </x:c>
      <x:c r="E98" s="3" t="n">
        <x:f>C98*Tinh_toan_x2!E12/(2*Tinh_toan_x2!E15*Tinh_toan_x2!E13)+(Tinh_toan_x2!C48+Tinh_toan_x2!E52+Tinh_toan_x2!E53/Tinh_toan_x2!E13^2)*2*Tinh_toan_x2!E13/Tinh_toan_x2!E12*F98</x:f>
        <x:v>-1.646765625</x:v>
      </x:c>
      <x:c r="F98" s="3" t="n">
        <x:f>Chu_ky!D13*(Chu_ky!F13+Chu_ky!E13*(Chu_ky!B13*5/10))</x:f>
        <x:v>-0.03428571428571429</x:v>
      </x:c>
      <x:c r="G98" s="3" t="n">
        <x:f>Chu_ky!D13*Chu_ky!E13</x:f>
        <x:v>-0.2742857142857143</x:v>
      </x:c>
      <x:c r="H98" s="3" t="str">
        <x:f>Chu_ky!A13</x:f>
        <x:v>Không tải tăng j+</x:v>
      </x:c>
    </x:row>
    <x:row r="99" ht="32" customHeight="1">
      <x:c r="A99" s="3" t="n">
        <x:f>Chu_ky!H13+(Chu_ky!B13*6/10)</x:f>
        <x:v>122.15</x:v>
      </x:c>
      <x:c r="B99" s="3" t="n">
        <x:f>Chu_ky!D13*(Chu_ky!G13+Chu_ky!F13*(Chu_ky!B13*6/10)+0.5*Chu_ky!E13*(Chu_ky!B13*6/10)^2)</x:f>
        <x:v>-0.003085714285714286</x:v>
      </x:c>
      <x:c r="C99" s="3" t="n">
        <x:f>Chu_ky!C13*(Chu_ky!D13*Tinh_toan_x2!E14*Tinh_toan_x2!E17+F99)</x:f>
        <x:v>-444.69771428571426</x:v>
      </x:c>
      <x:c r="D99" s="3" t="n">
        <x:f>E99*B99*2*Tinh_toan_x2!E13/Tinh_toan_x2!E12</x:f>
        <x:v>4.598184857142857</x:v>
      </x:c>
      <x:c r="E99" s="3" t="n">
        <x:f>C99*Tinh_toan_x2!E12/(2*Tinh_toan_x2!E15*Tinh_toan_x2!E13)+(Tinh_toan_x2!C48+Tinh_toan_x2!E52+Tinh_toan_x2!E53/Tinh_toan_x2!E13^2)*2*Tinh_toan_x2!E13/Tinh_toan_x2!E12*F99</x:f>
        <x:v>-1.862690625</x:v>
      </x:c>
      <x:c r="F99" s="3" t="n">
        <x:f>Chu_ky!D13*(Chu_ky!F13+Chu_ky!E13*(Chu_ky!B13*6/10))</x:f>
        <x:v>-0.04114285714285714</x:v>
      </x:c>
      <x:c r="G99" s="3" t="n">
        <x:f>Chu_ky!D13*Chu_ky!E13</x:f>
        <x:v>-0.2742857142857143</x:v>
      </x:c>
      <x:c r="H99" s="3" t="str">
        <x:f>Chu_ky!A13</x:f>
        <x:v>Không tải tăng j+</x:v>
      </x:c>
    </x:row>
    <x:row r="100" ht="32" customHeight="1">
      <x:c r="A100" s="3" t="n">
        <x:f>Chu_ky!H13+(Chu_ky!B13*7/10)</x:f>
        <x:v>122.175</x:v>
      </x:c>
      <x:c r="B100" s="3" t="n">
        <x:f>Chu_ky!D13*(Chu_ky!G13+Chu_ky!F13*(Chu_ky!B13*7/10)+0.5*Chu_ky!E13*(Chu_ky!B13*7/10)^2)</x:f>
        <x:v>-0.0042</x:v>
      </x:c>
      <x:c r="C100" s="3" t="n">
        <x:f>Chu_ky!C13*(Chu_ky!D13*Tinh_toan_x2!E14*Tinh_toan_x2!E17+F100)</x:f>
        <x:v>-446.22</x:v>
      </x:c>
      <x:c r="D100" s="3" t="n">
        <x:f>E100*B100*2*Tinh_toan_x2!E13/Tinh_toan_x2!E12</x:f>
        <x:v>6.984148500000001</x:v>
      </x:c>
      <x:c r="E100" s="3" t="n">
        <x:f>C100*Tinh_toan_x2!E12/(2*Tinh_toan_x2!E15*Tinh_toan_x2!E13)+(Tinh_toan_x2!C48+Tinh_toan_x2!E52+Tinh_toan_x2!E53/Tinh_toan_x2!E13^2)*2*Tinh_toan_x2!E13/Tinh_toan_x2!E12*F100</x:f>
        <x:v>-2.0786156250000003</x:v>
      </x:c>
      <x:c r="F100" s="3" t="n">
        <x:f>Chu_ky!D13*(Chu_ky!F13+Chu_ky!E13*(Chu_ky!B13*7/10))</x:f>
        <x:v>-0.048</x:v>
      </x:c>
      <x:c r="G100" s="3" t="n">
        <x:f>Chu_ky!D13*Chu_ky!E13</x:f>
        <x:v>-0.2742857142857143</x:v>
      </x:c>
      <x:c r="H100" s="3" t="str">
        <x:f>Chu_ky!A13</x:f>
        <x:v>Không tải tăng j+</x:v>
      </x:c>
    </x:row>
    <x:row r="101" ht="32" customHeight="1">
      <x:c r="A101" s="3" t="n">
        <x:f>Chu_ky!H13+(Chu_ky!B13*8/10)</x:f>
        <x:v>122.2</x:v>
      </x:c>
      <x:c r="B101" s="3" t="n">
        <x:f>Chu_ky!D13*(Chu_ky!G13+Chu_ky!F13*(Chu_ky!B13*8/10)+0.5*Chu_ky!E13*(Chu_ky!B13*8/10)^2)</x:f>
        <x:v>-0.005485714285714287</x:v>
      </x:c>
      <x:c r="C101" s="3" t="n">
        <x:f>Chu_ky!C13*(Chu_ky!D13*Tinh_toan_x2!E14*Tinh_toan_x2!E17+F101)</x:f>
        <x:v>-447.74228571428574</x:v>
      </x:c>
      <x:c r="D101" s="3" t="n">
        <x:f>E101*B101*2*Tinh_toan_x2!E13/Tinh_toan_x2!E12</x:f>
        <x:v>10.069755428571431</x:v>
      </x:c>
      <x:c r="E101" s="3" t="n">
        <x:f>C101*Tinh_toan_x2!E12/(2*Tinh_toan_x2!E15*Tinh_toan_x2!E13)+(Tinh_toan_x2!C48+Tinh_toan_x2!E52+Tinh_toan_x2!E53/Tinh_toan_x2!E13^2)*2*Tinh_toan_x2!E13/Tinh_toan_x2!E12*F101</x:f>
        <x:v>-2.2945406250000002</x:v>
      </x:c>
      <x:c r="F101" s="3" t="n">
        <x:f>Chu_ky!D13*(Chu_ky!F13+Chu_ky!E13*(Chu_ky!B13*8/10))</x:f>
        <x:v>-0.05485714285714286</x:v>
      </x:c>
      <x:c r="G101" s="3" t="n">
        <x:f>Chu_ky!D13*Chu_ky!E13</x:f>
        <x:v>-0.2742857142857143</x:v>
      </x:c>
      <x:c r="H101" s="3" t="str">
        <x:f>Chu_ky!A13</x:f>
        <x:v>Không tải tăng j+</x:v>
      </x:c>
    </x:row>
    <x:row r="102" ht="32" customHeight="1">
      <x:c r="A102" s="3" t="n">
        <x:f>Chu_ky!H13+(Chu_ky!B13*9/10)</x:f>
        <x:v>122.225</x:v>
      </x:c>
      <x:c r="B102" s="3" t="n">
        <x:f>Chu_ky!D13*(Chu_ky!G13+Chu_ky!F13*(Chu_ky!B13*9/10)+0.5*Chu_ky!E13*(Chu_ky!B13*9/10)^2)</x:f>
        <x:v>-0.006942857142857144</x:v>
      </x:c>
      <x:c r="C102" s="3" t="n">
        <x:f>Chu_ky!C13*(Chu_ky!D13*Tinh_toan_x2!E14*Tinh_toan_x2!E17+F102)</x:f>
        <x:v>-449.2645714285715</x:v>
      </x:c>
      <x:c r="D102" s="3" t="n">
        <x:f>E102*B102*2*Tinh_toan_x2!E13/Tinh_toan_x2!E12</x:f>
        <x:v>13.94384335714286</x:v>
      </x:c>
      <x:c r="E102" s="3" t="n">
        <x:f>C102*Tinh_toan_x2!E12/(2*Tinh_toan_x2!E15*Tinh_toan_x2!E13)+(Tinh_toan_x2!C48+Tinh_toan_x2!E52+Tinh_toan_x2!E53/Tinh_toan_x2!E13^2)*2*Tinh_toan_x2!E13/Tinh_toan_x2!E12*F102</x:f>
        <x:v>-2.510465625</x:v>
      </x:c>
      <x:c r="F102" s="3" t="n">
        <x:f>Chu_ky!D13*(Chu_ky!F13+Chu_ky!E13*(Chu_ky!B13*9/10))</x:f>
        <x:v>-0.06171428571428572</x:v>
      </x:c>
      <x:c r="G102" s="3" t="n">
        <x:f>Chu_ky!D13*Chu_ky!E13</x:f>
        <x:v>-0.2742857142857143</x:v>
      </x:c>
      <x:c r="H102" s="3" t="str">
        <x:f>Chu_ky!A13</x:f>
        <x:v>Không tải tăng j+</x:v>
      </x:c>
    </x:row>
    <x:row r="103" ht="32" customHeight="1">
      <x:c r="A103" s="3" t="n">
        <x:f>Chu_ky!H13+(Chu_ky!B13*10/10)</x:f>
        <x:v>122.25</x:v>
      </x:c>
      <x:c r="B103" s="3" t="n">
        <x:f>Chu_ky!D13*(Chu_ky!G13+Chu_ky!F13*(Chu_ky!B13*10/10)+0.5*Chu_ky!E13*(Chu_ky!B13*10/10)^2)</x:f>
        <x:v>-0.008571428571428572</x:v>
      </x:c>
      <x:c r="C103" s="3" t="n">
        <x:f>Chu_ky!C13*(Chu_ky!D13*Tinh_toan_x2!E14*Tinh_toan_x2!E17+F103)</x:f>
        <x:v>-450.7868571428572</x:v>
      </x:c>
      <x:c r="D103" s="3" t="n">
        <x:f>E103*B103*2*Tinh_toan_x2!E13/Tinh_toan_x2!E12</x:f>
        <x:v>18.695250000000005</x:v>
      </x:c>
      <x:c r="E103" s="3" t="n">
        <x:f>C103*Tinh_toan_x2!E12/(2*Tinh_toan_x2!E15*Tinh_toan_x2!E13)+(Tinh_toan_x2!C48+Tinh_toan_x2!E52+Tinh_toan_x2!E53/Tinh_toan_x2!E13^2)*2*Tinh_toan_x2!E13/Tinh_toan_x2!E12*F103</x:f>
        <x:v>-2.7263906250000005</x:v>
      </x:c>
      <x:c r="F103" s="3" t="n">
        <x:f>Chu_ky!D13*(Chu_ky!F13+Chu_ky!E13*(Chu_ky!B13*10/10))</x:f>
        <x:v>-0.06857142857142857</x:v>
      </x:c>
      <x:c r="G103" s="3" t="n">
        <x:f>Chu_ky!D13*Chu_ky!E13</x:f>
        <x:v>-0.2742857142857143</x:v>
      </x:c>
      <x:c r="H103" s="3" t="str">
        <x:f>Chu_ky!A13</x:f>
        <x:v>Không tải tăng j+</x:v>
      </x:c>
    </x:row>
    <x:row r="104" ht="32" customHeight="1">
      <x:c r="A104" s="3" t="n">
        <x:f>Chu_ky!H14+(Chu_ky!B14*0/10)</x:f>
        <x:v>122.25</x:v>
      </x:c>
      <x:c r="B104" s="3" t="n">
        <x:f>Chu_ky!D14*(Chu_ky!G14+Chu_ky!F14*(Chu_ky!B14*0/10)+0.5*Chu_ky!E14*(Chu_ky!B14*0/10)^2)</x:f>
        <x:v>-0.008571428571428572</x:v>
      </x:c>
      <x:c r="C104" s="3" t="n">
        <x:f>Chu_ky!C14*(Chu_ky!D14*Tinh_toan_x2!E14*Tinh_toan_x2!E17+F104)</x:f>
        <x:v>-450.7868571428572</x:v>
      </x:c>
      <x:c r="D104" s="3" t="n">
        <x:f>E104*B104*2*Tinh_toan_x2!E13/Tinh_toan_x2!E12</x:f>
        <x:v>18.695250000000005</x:v>
      </x:c>
      <x:c r="E104" s="3" t="n">
        <x:f>C104*Tinh_toan_x2!E12/(2*Tinh_toan_x2!E15*Tinh_toan_x2!E13)+(Tinh_toan_x2!C48+Tinh_toan_x2!E52+Tinh_toan_x2!E53/Tinh_toan_x2!E13^2)*2*Tinh_toan_x2!E13/Tinh_toan_x2!E12*F104</x:f>
        <x:v>-2.7263906250000005</x:v>
      </x:c>
      <x:c r="F104" s="3" t="n">
        <x:f>Chu_ky!D14*(Chu_ky!F14+Chu_ky!E14*(Chu_ky!B14*0/10))</x:f>
        <x:v>-0.06857142857142857</x:v>
      </x:c>
      <x:c r="G104" s="3" t="n">
        <x:f>Chu_ky!D14*Chu_ky!E14</x:f>
        <x:v>0</x:v>
      </x:c>
      <x:c r="H104" s="3" t="str">
        <x:f>Chu_ky!A14</x:f>
        <x:v>Không tải tăng a</x:v>
      </x:c>
    </x:row>
    <x:row r="105" ht="32" customHeight="1">
      <x:c r="A105" s="3" t="n">
        <x:f>Chu_ky!H14+(Chu_ky!B14*1/10)</x:f>
        <x:v>122.4</x:v>
      </x:c>
      <x:c r="B105" s="3" t="n">
        <x:f>Chu_ky!D14*(Chu_ky!G14+Chu_ky!F14*(Chu_ky!B14*1/10)+0.5*Chu_ky!E14*(Chu_ky!B14*1/10)^2)</x:f>
        <x:v>-0.018857142857142857</x:v>
      </x:c>
      <x:c r="C105" s="3" t="n">
        <x:f>Chu_ky!C14*(Chu_ky!D14*Tinh_toan_x2!E14*Tinh_toan_x2!E17+F105)</x:f>
        <x:v>-450.7868571428572</x:v>
      </x:c>
      <x:c r="D105" s="3" t="n">
        <x:f>E105*B105*2*Tinh_toan_x2!E13/Tinh_toan_x2!E12</x:f>
        <x:v>41.12955000000001</x:v>
      </x:c>
      <x:c r="E105" s="3" t="n">
        <x:f>C105*Tinh_toan_x2!E12/(2*Tinh_toan_x2!E15*Tinh_toan_x2!E13)+(Tinh_toan_x2!C48+Tinh_toan_x2!E52+Tinh_toan_x2!E53/Tinh_toan_x2!E13^2)*2*Tinh_toan_x2!E13/Tinh_toan_x2!E12*F105</x:f>
        <x:v>-2.7263906250000005</x:v>
      </x:c>
      <x:c r="F105" s="3" t="n">
        <x:f>Chu_ky!D14*(Chu_ky!F14+Chu_ky!E14*(Chu_ky!B14*1/10))</x:f>
        <x:v>-0.06857142857142857</x:v>
      </x:c>
      <x:c r="G105" s="3" t="n">
        <x:f>Chu_ky!D14*Chu_ky!E14</x:f>
        <x:v>0</x:v>
      </x:c>
      <x:c r="H105" s="3" t="str">
        <x:f>Chu_ky!A14</x:f>
        <x:v>Không tải tăng a</x:v>
      </x:c>
    </x:row>
    <x:row r="106" ht="32" customHeight="1">
      <x:c r="A106" s="3" t="n">
        <x:f>Chu_ky!H14+(Chu_ky!B14*2/10)</x:f>
        <x:v>122.55</x:v>
      </x:c>
      <x:c r="B106" s="3" t="n">
        <x:f>Chu_ky!D14*(Chu_ky!G14+Chu_ky!F14*(Chu_ky!B14*2/10)+0.5*Chu_ky!E14*(Chu_ky!B14*2/10)^2)</x:f>
        <x:v>-0.029142857142857144</x:v>
      </x:c>
      <x:c r="C106" s="3" t="n">
        <x:f>Chu_ky!C14*(Chu_ky!D14*Tinh_toan_x2!E14*Tinh_toan_x2!E17+F106)</x:f>
        <x:v>-450.7868571428572</x:v>
      </x:c>
      <x:c r="D106" s="3" t="n">
        <x:f>E106*B106*2*Tinh_toan_x2!E13/Tinh_toan_x2!E12</x:f>
        <x:v>63.56385000000001</x:v>
      </x:c>
      <x:c r="E106" s="3" t="n">
        <x:f>C106*Tinh_toan_x2!E12/(2*Tinh_toan_x2!E15*Tinh_toan_x2!E13)+(Tinh_toan_x2!C48+Tinh_toan_x2!E52+Tinh_toan_x2!E53/Tinh_toan_x2!E13^2)*2*Tinh_toan_x2!E13/Tinh_toan_x2!E12*F106</x:f>
        <x:v>-2.7263906250000005</x:v>
      </x:c>
      <x:c r="F106" s="3" t="n">
        <x:f>Chu_ky!D14*(Chu_ky!F14+Chu_ky!E14*(Chu_ky!B14*2/10))</x:f>
        <x:v>-0.06857142857142857</x:v>
      </x:c>
      <x:c r="G106" s="3" t="n">
        <x:f>Chu_ky!D14*Chu_ky!E14</x:f>
        <x:v>0</x:v>
      </x:c>
      <x:c r="H106" s="3" t="str">
        <x:f>Chu_ky!A14</x:f>
        <x:v>Không tải tăng a</x:v>
      </x:c>
    </x:row>
    <x:row r="107" ht="32" customHeight="1">
      <x:c r="A107" s="3" t="n">
        <x:f>Chu_ky!H14+(Chu_ky!B14*3/10)</x:f>
        <x:v>122.7</x:v>
      </x:c>
      <x:c r="B107" s="3" t="n">
        <x:f>Chu_ky!D14*(Chu_ky!G14+Chu_ky!F14*(Chu_ky!B14*3/10)+0.5*Chu_ky!E14*(Chu_ky!B14*3/10)^2)</x:f>
        <x:v>-0.03942857142857143</x:v>
      </x:c>
      <x:c r="C107" s="3" t="n">
        <x:f>Chu_ky!C14*(Chu_ky!D14*Tinh_toan_x2!E14*Tinh_toan_x2!E17+F107)</x:f>
        <x:v>-450.7868571428572</x:v>
      </x:c>
      <x:c r="D107" s="3" t="n">
        <x:f>E107*B107*2*Tinh_toan_x2!E13/Tinh_toan_x2!E12</x:f>
        <x:v>85.99815000000002</x:v>
      </x:c>
      <x:c r="E107" s="3" t="n">
        <x:f>C107*Tinh_toan_x2!E12/(2*Tinh_toan_x2!E15*Tinh_toan_x2!E13)+(Tinh_toan_x2!C48+Tinh_toan_x2!E52+Tinh_toan_x2!E53/Tinh_toan_x2!E13^2)*2*Tinh_toan_x2!E13/Tinh_toan_x2!E12*F107</x:f>
        <x:v>-2.7263906250000005</x:v>
      </x:c>
      <x:c r="F107" s="3" t="n">
        <x:f>Chu_ky!D14*(Chu_ky!F14+Chu_ky!E14*(Chu_ky!B14*3/10))</x:f>
        <x:v>-0.06857142857142857</x:v>
      </x:c>
      <x:c r="G107" s="3" t="n">
        <x:f>Chu_ky!D14*Chu_ky!E14</x:f>
        <x:v>0</x:v>
      </x:c>
      <x:c r="H107" s="3" t="str">
        <x:f>Chu_ky!A14</x:f>
        <x:v>Không tải tăng a</x:v>
      </x:c>
    </x:row>
    <x:row r="108" ht="32" customHeight="1">
      <x:c r="A108" s="3" t="n">
        <x:f>Chu_ky!H14+(Chu_ky!B14*4/10)</x:f>
        <x:v>122.85</x:v>
      </x:c>
      <x:c r="B108" s="3" t="n">
        <x:f>Chu_ky!D14*(Chu_ky!G14+Chu_ky!F14*(Chu_ky!B14*4/10)+0.5*Chu_ky!E14*(Chu_ky!B14*4/10)^2)</x:f>
        <x:v>-0.04971428571428571</x:v>
      </x:c>
      <x:c r="C108" s="3" t="n">
        <x:f>Chu_ky!C14*(Chu_ky!D14*Tinh_toan_x2!E14*Tinh_toan_x2!E17+F108)</x:f>
        <x:v>-450.7868571428572</x:v>
      </x:c>
      <x:c r="D108" s="3" t="n">
        <x:f>E108*B108*2*Tinh_toan_x2!E13/Tinh_toan_x2!E12</x:f>
        <x:v>108.43245000000002</x:v>
      </x:c>
      <x:c r="E108" s="3" t="n">
        <x:f>C108*Tinh_toan_x2!E12/(2*Tinh_toan_x2!E15*Tinh_toan_x2!E13)+(Tinh_toan_x2!C48+Tinh_toan_x2!E52+Tinh_toan_x2!E53/Tinh_toan_x2!E13^2)*2*Tinh_toan_x2!E13/Tinh_toan_x2!E12*F108</x:f>
        <x:v>-2.7263906250000005</x:v>
      </x:c>
      <x:c r="F108" s="3" t="n">
        <x:f>Chu_ky!D14*(Chu_ky!F14+Chu_ky!E14*(Chu_ky!B14*4/10))</x:f>
        <x:v>-0.06857142857142857</x:v>
      </x:c>
      <x:c r="G108" s="3" t="n">
        <x:f>Chu_ky!D14*Chu_ky!E14</x:f>
        <x:v>0</x:v>
      </x:c>
      <x:c r="H108" s="3" t="str">
        <x:f>Chu_ky!A14</x:f>
        <x:v>Không tải tăng a</x:v>
      </x:c>
    </x:row>
    <x:row r="109" ht="32" customHeight="1">
      <x:c r="A109" s="3" t="n">
        <x:f>Chu_ky!H14+(Chu_ky!B14*5/10)</x:f>
        <x:v>123</x:v>
      </x:c>
      <x:c r="B109" s="3" t="n">
        <x:f>Chu_ky!D14*(Chu_ky!G14+Chu_ky!F14*(Chu_ky!B14*5/10)+0.5*Chu_ky!E14*(Chu_ky!B14*5/10)^2)</x:f>
        <x:v>-0.060000000000000005</x:v>
      </x:c>
      <x:c r="C109" s="3" t="n">
        <x:f>Chu_ky!C14*(Chu_ky!D14*Tinh_toan_x2!E14*Tinh_toan_x2!E17+F109)</x:f>
        <x:v>-450.7868571428572</x:v>
      </x:c>
      <x:c r="D109" s="3" t="n">
        <x:f>E109*B109*2*Tinh_toan_x2!E13/Tinh_toan_x2!E12</x:f>
        <x:v>130.86675000000002</x:v>
      </x:c>
      <x:c r="E109" s="3" t="n">
        <x:f>C109*Tinh_toan_x2!E12/(2*Tinh_toan_x2!E15*Tinh_toan_x2!E13)+(Tinh_toan_x2!C48+Tinh_toan_x2!E52+Tinh_toan_x2!E53/Tinh_toan_x2!E13^2)*2*Tinh_toan_x2!E13/Tinh_toan_x2!E12*F109</x:f>
        <x:v>-2.7263906250000005</x:v>
      </x:c>
      <x:c r="F109" s="3" t="n">
        <x:f>Chu_ky!D14*(Chu_ky!F14+Chu_ky!E14*(Chu_ky!B14*5/10))</x:f>
        <x:v>-0.06857142857142857</x:v>
      </x:c>
      <x:c r="G109" s="3" t="n">
        <x:f>Chu_ky!D14*Chu_ky!E14</x:f>
        <x:v>0</x:v>
      </x:c>
      <x:c r="H109" s="3" t="str">
        <x:f>Chu_ky!A14</x:f>
        <x:v>Không tải tăng a</x:v>
      </x:c>
    </x:row>
    <x:row r="110" ht="32" customHeight="1">
      <x:c r="A110" s="3" t="n">
        <x:f>Chu_ky!H14+(Chu_ky!B14*6/10)</x:f>
        <x:v>123.15</x:v>
      </x:c>
      <x:c r="B110" s="3" t="n">
        <x:f>Chu_ky!D14*(Chu_ky!G14+Chu_ky!F14*(Chu_ky!B14*6/10)+0.5*Chu_ky!E14*(Chu_ky!B14*6/10)^2)</x:f>
        <x:v>-0.0702857142857143</x:v>
      </x:c>
      <x:c r="C110" s="3" t="n">
        <x:f>Chu_ky!C14*(Chu_ky!D14*Tinh_toan_x2!E14*Tinh_toan_x2!E17+F110)</x:f>
        <x:v>-450.7868571428572</x:v>
      </x:c>
      <x:c r="D110" s="3" t="n">
        <x:f>E110*B110*2*Tinh_toan_x2!E13/Tinh_toan_x2!E12</x:f>
        <x:v>153.30105000000006</x:v>
      </x:c>
      <x:c r="E110" s="3" t="n">
        <x:f>C110*Tinh_toan_x2!E12/(2*Tinh_toan_x2!E15*Tinh_toan_x2!E13)+(Tinh_toan_x2!C48+Tinh_toan_x2!E52+Tinh_toan_x2!E53/Tinh_toan_x2!E13^2)*2*Tinh_toan_x2!E13/Tinh_toan_x2!E12*F110</x:f>
        <x:v>-2.7263906250000005</x:v>
      </x:c>
      <x:c r="F110" s="3" t="n">
        <x:f>Chu_ky!D14*(Chu_ky!F14+Chu_ky!E14*(Chu_ky!B14*6/10))</x:f>
        <x:v>-0.06857142857142857</x:v>
      </x:c>
      <x:c r="G110" s="3" t="n">
        <x:f>Chu_ky!D14*Chu_ky!E14</x:f>
        <x:v>0</x:v>
      </x:c>
      <x:c r="H110" s="3" t="str">
        <x:f>Chu_ky!A14</x:f>
        <x:v>Không tải tăng a</x:v>
      </x:c>
    </x:row>
    <x:row r="111" ht="32" customHeight="1">
      <x:c r="A111" s="3" t="n">
        <x:f>Chu_ky!H14+(Chu_ky!B14*7/10)</x:f>
        <x:v>123.3</x:v>
      </x:c>
      <x:c r="B111" s="3" t="n">
        <x:f>Chu_ky!D14*(Chu_ky!G14+Chu_ky!F14*(Chu_ky!B14*7/10)+0.5*Chu_ky!E14*(Chu_ky!B14*7/10)^2)</x:f>
        <x:v>-0.08057142857142859</x:v>
      </x:c>
      <x:c r="C111" s="3" t="n">
        <x:f>Chu_ky!C14*(Chu_ky!D14*Tinh_toan_x2!E14*Tinh_toan_x2!E17+F111)</x:f>
        <x:v>-450.7868571428572</x:v>
      </x:c>
      <x:c r="D111" s="3" t="n">
        <x:f>E111*B111*2*Tinh_toan_x2!E13/Tinh_toan_x2!E12</x:f>
        <x:v>175.73535000000007</x:v>
      </x:c>
      <x:c r="E111" s="3" t="n">
        <x:f>C111*Tinh_toan_x2!E12/(2*Tinh_toan_x2!E15*Tinh_toan_x2!E13)+(Tinh_toan_x2!C48+Tinh_toan_x2!E52+Tinh_toan_x2!E53/Tinh_toan_x2!E13^2)*2*Tinh_toan_x2!E13/Tinh_toan_x2!E12*F111</x:f>
        <x:v>-2.7263906250000005</x:v>
      </x:c>
      <x:c r="F111" s="3" t="n">
        <x:f>Chu_ky!D14*(Chu_ky!F14+Chu_ky!E14*(Chu_ky!B14*7/10))</x:f>
        <x:v>-0.06857142857142857</x:v>
      </x:c>
      <x:c r="G111" s="3" t="n">
        <x:f>Chu_ky!D14*Chu_ky!E14</x:f>
        <x:v>0</x:v>
      </x:c>
      <x:c r="H111" s="3" t="str">
        <x:f>Chu_ky!A14</x:f>
        <x:v>Không tải tăng a</x:v>
      </x:c>
    </x:row>
    <x:row r="112" ht="32" customHeight="1">
      <x:c r="A112" s="3" t="n">
        <x:f>Chu_ky!H14+(Chu_ky!B14*8/10)</x:f>
        <x:v>123.45</x:v>
      </x:c>
      <x:c r="B112" s="3" t="n">
        <x:f>Chu_ky!D14*(Chu_ky!G14+Chu_ky!F14*(Chu_ky!B14*8/10)+0.5*Chu_ky!E14*(Chu_ky!B14*8/10)^2)</x:f>
        <x:v>-0.09085714285714286</x:v>
      </x:c>
      <x:c r="C112" s="3" t="n">
        <x:f>Chu_ky!C14*(Chu_ky!D14*Tinh_toan_x2!E14*Tinh_toan_x2!E17+F112)</x:f>
        <x:v>-450.7868571428572</x:v>
      </x:c>
      <x:c r="D112" s="3" t="n">
        <x:f>E112*B112*2*Tinh_toan_x2!E13/Tinh_toan_x2!E12</x:f>
        <x:v>198.16965000000005</x:v>
      </x:c>
      <x:c r="E112" s="3" t="n">
        <x:f>C112*Tinh_toan_x2!E12/(2*Tinh_toan_x2!E15*Tinh_toan_x2!E13)+(Tinh_toan_x2!C48+Tinh_toan_x2!E52+Tinh_toan_x2!E53/Tinh_toan_x2!E13^2)*2*Tinh_toan_x2!E13/Tinh_toan_x2!E12*F112</x:f>
        <x:v>-2.7263906250000005</x:v>
      </x:c>
      <x:c r="F112" s="3" t="n">
        <x:f>Chu_ky!D14*(Chu_ky!F14+Chu_ky!E14*(Chu_ky!B14*8/10))</x:f>
        <x:v>-0.06857142857142857</x:v>
      </x:c>
      <x:c r="G112" s="3" t="n">
        <x:f>Chu_ky!D14*Chu_ky!E14</x:f>
        <x:v>0</x:v>
      </x:c>
      <x:c r="H112" s="3" t="str">
        <x:f>Chu_ky!A14</x:f>
        <x:v>Không tải tăng a</x:v>
      </x:c>
    </x:row>
    <x:row r="113" ht="32" customHeight="1">
      <x:c r="A113" s="3" t="n">
        <x:f>Chu_ky!H14+(Chu_ky!B14*9/10)</x:f>
        <x:v>123.6</x:v>
      </x:c>
      <x:c r="B113" s="3" t="n">
        <x:f>Chu_ky!D14*(Chu_ky!G14+Chu_ky!F14*(Chu_ky!B14*9/10)+0.5*Chu_ky!E14*(Chu_ky!B14*9/10)^2)</x:f>
        <x:v>-0.10114285714285716</x:v>
      </x:c>
      <x:c r="C113" s="3" t="n">
        <x:f>Chu_ky!C14*(Chu_ky!D14*Tinh_toan_x2!E14*Tinh_toan_x2!E17+F113)</x:f>
        <x:v>-450.7868571428572</x:v>
      </x:c>
      <x:c r="D113" s="3" t="n">
        <x:f>E113*B113*2*Tinh_toan_x2!E13/Tinh_toan_x2!E12</x:f>
        <x:v>220.60395000000005</x:v>
      </x:c>
      <x:c r="E113" s="3" t="n">
        <x:f>C113*Tinh_toan_x2!E12/(2*Tinh_toan_x2!E15*Tinh_toan_x2!E13)+(Tinh_toan_x2!C48+Tinh_toan_x2!E52+Tinh_toan_x2!E53/Tinh_toan_x2!E13^2)*2*Tinh_toan_x2!E13/Tinh_toan_x2!E12*F113</x:f>
        <x:v>-2.7263906250000005</x:v>
      </x:c>
      <x:c r="F113" s="3" t="n">
        <x:f>Chu_ky!D14*(Chu_ky!F14+Chu_ky!E14*(Chu_ky!B14*9/10))</x:f>
        <x:v>-0.06857142857142857</x:v>
      </x:c>
      <x:c r="G113" s="3" t="n">
        <x:f>Chu_ky!D14*Chu_ky!E14</x:f>
        <x:v>0</x:v>
      </x:c>
      <x:c r="H113" s="3" t="str">
        <x:f>Chu_ky!A14</x:f>
        <x:v>Không tải tăng a</x:v>
      </x:c>
    </x:row>
    <x:row r="114" ht="32" customHeight="1">
      <x:c r="A114" s="3" t="n">
        <x:f>Chu_ky!H14+(Chu_ky!B14*10/10)</x:f>
        <x:v>123.75</x:v>
      </x:c>
      <x:c r="B114" s="3" t="n">
        <x:f>Chu_ky!D14*(Chu_ky!G14+Chu_ky!F14*(Chu_ky!B14*10/10)+0.5*Chu_ky!E14*(Chu_ky!B14*10/10)^2)</x:f>
        <x:v>-0.11142857142857145</x:v>
      </x:c>
      <x:c r="C114" s="3" t="n">
        <x:f>Chu_ky!C14*(Chu_ky!D14*Tinh_toan_x2!E14*Tinh_toan_x2!E17+F114)</x:f>
        <x:v>-450.7868571428572</x:v>
      </x:c>
      <x:c r="D114" s="3" t="n">
        <x:f>E114*B114*2*Tinh_toan_x2!E13/Tinh_toan_x2!E12</x:f>
        <x:v>243.0382500000001</x:v>
      </x:c>
      <x:c r="E114" s="3" t="n">
        <x:f>C114*Tinh_toan_x2!E12/(2*Tinh_toan_x2!E15*Tinh_toan_x2!E13)+(Tinh_toan_x2!C48+Tinh_toan_x2!E52+Tinh_toan_x2!E53/Tinh_toan_x2!E13^2)*2*Tinh_toan_x2!E13/Tinh_toan_x2!E12*F114</x:f>
        <x:v>-2.7263906250000005</x:v>
      </x:c>
      <x:c r="F114" s="3" t="n">
        <x:f>Chu_ky!D14*(Chu_ky!F14+Chu_ky!E14*(Chu_ky!B14*10/10))</x:f>
        <x:v>-0.06857142857142857</x:v>
      </x:c>
      <x:c r="G114" s="3" t="n">
        <x:f>Chu_ky!D14*Chu_ky!E14</x:f>
        <x:v>0</x:v>
      </x:c>
      <x:c r="H114" s="3" t="str">
        <x:f>Chu_ky!A14</x:f>
        <x:v>Không tải tăng a</x:v>
      </x:c>
    </x:row>
    <x:row r="115" ht="32" customHeight="1">
      <x:c r="A115" s="3" t="n">
        <x:f>Chu_ky!H15+(Chu_ky!B15*0/10)</x:f>
        <x:v>123.75</x:v>
      </x:c>
      <x:c r="B115" s="3" t="n">
        <x:f>Chu_ky!D15*(Chu_ky!G15+Chu_ky!F15*(Chu_ky!B15*0/10)+0.5*Chu_ky!E15*(Chu_ky!B15*0/10)^2)</x:f>
        <x:v>-0.11142857142857145</x:v>
      </x:c>
      <x:c r="C115" s="3" t="n">
        <x:f>Chu_ky!C15*(Chu_ky!D15*Tinh_toan_x2!E14*Tinh_toan_x2!E17+F115)</x:f>
        <x:v>-450.7868571428572</x:v>
      </x:c>
      <x:c r="D115" s="3" t="n">
        <x:f>E115*B115*2*Tinh_toan_x2!E13/Tinh_toan_x2!E12</x:f>
        <x:v>243.0382500000001</x:v>
      </x:c>
      <x:c r="E115" s="3" t="n">
        <x:f>C115*Tinh_toan_x2!E12/(2*Tinh_toan_x2!E15*Tinh_toan_x2!E13)+(Tinh_toan_x2!C48+Tinh_toan_x2!E52+Tinh_toan_x2!E53/Tinh_toan_x2!E13^2)*2*Tinh_toan_x2!E13/Tinh_toan_x2!E12*F115</x:f>
        <x:v>-2.7263906250000005</x:v>
      </x:c>
      <x:c r="F115" s="3" t="n">
        <x:f>Chu_ky!D15*(Chu_ky!F15+Chu_ky!E15*(Chu_ky!B15*0/10))</x:f>
        <x:v>-0.06857142857142857</x:v>
      </x:c>
      <x:c r="G115" s="3" t="n">
        <x:f>Chu_ky!D15*Chu_ky!E15</x:f>
        <x:v>0.2742857142857143</x:v>
      </x:c>
      <x:c r="H115" s="3" t="str">
        <x:f>Chu_ky!A15</x:f>
        <x:v>Không tải tăng j-</x:v>
      </x:c>
    </x:row>
    <x:row r="116" ht="32" customHeight="1">
      <x:c r="A116" s="3" t="n">
        <x:f>Chu_ky!H15+(Chu_ky!B15*1/10)</x:f>
        <x:v>123.775</x:v>
      </x:c>
      <x:c r="B116" s="3" t="n">
        <x:f>Chu_ky!D15*(Chu_ky!G15+Chu_ky!F15*(Chu_ky!B15*1/10)+0.5*Chu_ky!E15*(Chu_ky!B15*1/10)^2)</x:f>
        <x:v>-0.11305714285714287</x:v>
      </x:c>
      <x:c r="C116" s="3" t="n">
        <x:f>Chu_ky!C15*(Chu_ky!D15*Tinh_toan_x2!E14*Tinh_toan_x2!E17+F116)</x:f>
        <x:v>-449.2645714285715</x:v>
      </x:c>
      <x:c r="D116" s="3" t="n">
        <x:f>E116*B116*2*Tinh_toan_x2!E13/Tinh_toan_x2!E12</x:f>
        <x:v>227.06085664285717</x:v>
      </x:c>
      <x:c r="E116" s="3" t="n">
        <x:f>C116*Tinh_toan_x2!E12/(2*Tinh_toan_x2!E15*Tinh_toan_x2!E13)+(Tinh_toan_x2!C48+Tinh_toan_x2!E52+Tinh_toan_x2!E53/Tinh_toan_x2!E13^2)*2*Tinh_toan_x2!E13/Tinh_toan_x2!E12*F116</x:f>
        <x:v>-2.510465625</x:v>
      </x:c>
      <x:c r="F116" s="3" t="n">
        <x:f>Chu_ky!D15*(Chu_ky!F15+Chu_ky!E15*(Chu_ky!B15*1/10))</x:f>
        <x:v>-0.061714285714285715</x:v>
      </x:c>
      <x:c r="G116" s="3" t="n">
        <x:f>Chu_ky!D15*Chu_ky!E15</x:f>
        <x:v>0.2742857142857143</x:v>
      </x:c>
      <x:c r="H116" s="3" t="str">
        <x:f>Chu_ky!A15</x:f>
        <x:v>Không tải tăng j-</x:v>
      </x:c>
    </x:row>
    <x:row r="117" ht="32" customHeight="1">
      <x:c r="A117" s="3" t="n">
        <x:f>Chu_ky!H15+(Chu_ky!B15*2/10)</x:f>
        <x:v>123.8</x:v>
      </x:c>
      <x:c r="B117" s="3" t="n">
        <x:f>Chu_ky!D15*(Chu_ky!G15+Chu_ky!F15*(Chu_ky!B15*2/10)+0.5*Chu_ky!E15*(Chu_ky!B15*2/10)^2)</x:f>
        <x:v>-0.11451428571428574</x:v>
      </x:c>
      <x:c r="C117" s="3" t="n">
        <x:f>Chu_ky!C15*(Chu_ky!D15*Tinh_toan_x2!E14*Tinh_toan_x2!E17+F117)</x:f>
        <x:v>-447.74228571428574</x:v>
      </x:c>
      <x:c r="D117" s="3" t="n">
        <x:f>E117*B117*2*Tinh_toan_x2!E13/Tinh_toan_x2!E12</x:f>
        <x:v>210.20614457142864</x:v>
      </x:c>
      <x:c r="E117" s="3" t="n">
        <x:f>C117*Tinh_toan_x2!E12/(2*Tinh_toan_x2!E15*Tinh_toan_x2!E13)+(Tinh_toan_x2!C48+Tinh_toan_x2!E52+Tinh_toan_x2!E53/Tinh_toan_x2!E13^2)*2*Tinh_toan_x2!E13/Tinh_toan_x2!E12*F117</x:f>
        <x:v>-2.2945406250000002</x:v>
      </x:c>
      <x:c r="F117" s="3" t="n">
        <x:f>Chu_ky!D15*(Chu_ky!F15+Chu_ky!E15*(Chu_ky!B15*2/10))</x:f>
        <x:v>-0.05485714285714286</x:v>
      </x:c>
      <x:c r="G117" s="3" t="n">
        <x:f>Chu_ky!D15*Chu_ky!E15</x:f>
        <x:v>0.2742857142857143</x:v>
      </x:c>
      <x:c r="H117" s="3" t="str">
        <x:f>Chu_ky!A15</x:f>
        <x:v>Không tải tăng j-</x:v>
      </x:c>
    </x:row>
    <x:row r="118" ht="32" customHeight="1">
      <x:c r="A118" s="3" t="n">
        <x:f>Chu_ky!H15+(Chu_ky!B15*3/10)</x:f>
        <x:v>123.825</x:v>
      </x:c>
      <x:c r="B118" s="3" t="n">
        <x:f>Chu_ky!D15*(Chu_ky!G15+Chu_ky!F15*(Chu_ky!B15*3/10)+0.5*Chu_ky!E15*(Chu_ky!B15*3/10)^2)</x:f>
        <x:v>-0.11580000000000001</x:v>
      </x:c>
      <x:c r="C118" s="3" t="n">
        <x:f>Chu_ky!C15*(Chu_ky!D15*Tinh_toan_x2!E14*Tinh_toan_x2!E17+F118)</x:f>
        <x:v>-446.22</x:v>
      </x:c>
      <x:c r="D118" s="3" t="n">
        <x:f>E118*B118*2*Tinh_toan_x2!E13/Tinh_toan_x2!E12</x:f>
        <x:v>192.56295150000005</x:v>
      </x:c>
      <x:c r="E118" s="3" t="n">
        <x:f>C118*Tinh_toan_x2!E12/(2*Tinh_toan_x2!E15*Tinh_toan_x2!E13)+(Tinh_toan_x2!C48+Tinh_toan_x2!E52+Tinh_toan_x2!E53/Tinh_toan_x2!E13^2)*2*Tinh_toan_x2!E13/Tinh_toan_x2!E12*F118</x:f>
        <x:v>-2.0786156250000003</x:v>
      </x:c>
      <x:c r="F118" s="3" t="n">
        <x:f>Chu_ky!D15*(Chu_ky!F15+Chu_ky!E15*(Chu_ky!B15*3/10))</x:f>
        <x:v>-0.048</x:v>
      </x:c>
      <x:c r="G118" s="3" t="n">
        <x:f>Chu_ky!D15*Chu_ky!E15</x:f>
        <x:v>0.2742857142857143</x:v>
      </x:c>
      <x:c r="H118" s="3" t="str">
        <x:f>Chu_ky!A15</x:f>
        <x:v>Không tải tăng j-</x:v>
      </x:c>
    </x:row>
    <x:row r="119" ht="32" customHeight="1">
      <x:c r="A119" s="3" t="n">
        <x:f>Chu_ky!H15+(Chu_ky!B15*4/10)</x:f>
        <x:v>123.85</x:v>
      </x:c>
      <x:c r="B119" s="3" t="n">
        <x:f>Chu_ky!D15*(Chu_ky!G15+Chu_ky!F15*(Chu_ky!B15*4/10)+0.5*Chu_ky!E15*(Chu_ky!B15*4/10)^2)</x:f>
        <x:v>-0.11691428571428573</x:v>
      </x:c>
      <x:c r="C119" s="3" t="n">
        <x:f>Chu_ky!C15*(Chu_ky!D15*Tinh_toan_x2!E14*Tinh_toan_x2!E17+F119)</x:f>
        <x:v>-444.69771428571437</x:v>
      </x:c>
      <x:c r="D119" s="3" t="n">
        <x:f>E119*B119*2*Tinh_toan_x2!E13/Tinh_toan_x2!E12</x:f>
        <x:v>174.2201151428572</x:v>
      </x:c>
      <x:c r="E119" s="3" t="n">
        <x:f>C119*Tinh_toan_x2!E12/(2*Tinh_toan_x2!E15*Tinh_toan_x2!E13)+(Tinh_toan_x2!C48+Tinh_toan_x2!E52+Tinh_toan_x2!E53/Tinh_toan_x2!E13^2)*2*Tinh_toan_x2!E13/Tinh_toan_x2!E12*F119</x:f>
        <x:v>-1.8626906250000004</x:v>
      </x:c>
      <x:c r="F119" s="3" t="n">
        <x:f>Chu_ky!D15*(Chu_ky!F15+Chu_ky!E15*(Chu_ky!B15*4/10))</x:f>
        <x:v>-0.04114285714285715</x:v>
      </x:c>
      <x:c r="G119" s="3" t="n">
        <x:f>Chu_ky!D15*Chu_ky!E15</x:f>
        <x:v>0.2742857142857143</x:v>
      </x:c>
      <x:c r="H119" s="3" t="str">
        <x:f>Chu_ky!A15</x:f>
        <x:v>Không tải tăng j-</x:v>
      </x:c>
    </x:row>
    <x:row r="120" ht="32" customHeight="1">
      <x:c r="A120" s="3" t="n">
        <x:f>Chu_ky!H15+(Chu_ky!B15*5/10)</x:f>
        <x:v>123.875</x:v>
      </x:c>
      <x:c r="B120" s="3" t="n">
        <x:f>Chu_ky!D15*(Chu_ky!G15+Chu_ky!F15*(Chu_ky!B15*5/10)+0.5*Chu_ky!E15*(Chu_ky!B15*5/10)^2)</x:f>
        <x:v>-0.11785714285714288</x:v>
      </x:c>
      <x:c r="C120" s="3" t="n">
        <x:f>Chu_ky!C15*(Chu_ky!D15*Tinh_toan_x2!E14*Tinh_toan_x2!E17+F120)</x:f>
        <x:v>-443.1754285714286</x:v>
      </x:c>
      <x:c r="D120" s="3" t="n">
        <x:f>E120*B120*2*Tinh_toan_x2!E13/Tinh_toan_x2!E12</x:f>
        <x:v>155.26647321428575</x:v>
      </x:c>
      <x:c r="E120" s="3" t="n">
        <x:f>C120*Tinh_toan_x2!E12/(2*Tinh_toan_x2!E15*Tinh_toan_x2!E13)+(Tinh_toan_x2!C48+Tinh_toan_x2!E52+Tinh_toan_x2!E53/Tinh_toan_x2!E13^2)*2*Tinh_toan_x2!E13/Tinh_toan_x2!E12*F120</x:f>
        <x:v>-1.646765625</x:v>
      </x:c>
      <x:c r="F120" s="3" t="n">
        <x:f>Chu_ky!D15*(Chu_ky!F15+Chu_ky!E15*(Chu_ky!B15*5/10))</x:f>
        <x:v>-0.03428571428571429</x:v>
      </x:c>
      <x:c r="G120" s="3" t="n">
        <x:f>Chu_ky!D15*Chu_ky!E15</x:f>
        <x:v>0.2742857142857143</x:v>
      </x:c>
      <x:c r="H120" s="3" t="str">
        <x:f>Chu_ky!A15</x:f>
        <x:v>Không tải tăng j-</x:v>
      </x:c>
    </x:row>
    <x:row r="121" ht="32" customHeight="1">
      <x:c r="A121" s="3" t="n">
        <x:f>Chu_ky!H15+(Chu_ky!B15*6/10)</x:f>
        <x:v>123.9</x:v>
      </x:c>
      <x:c r="B121" s="3" t="n">
        <x:f>Chu_ky!D15*(Chu_ky!G15+Chu_ky!F15*(Chu_ky!B15*6/10)+0.5*Chu_ky!E15*(Chu_ky!B15*6/10)^2)</x:f>
        <x:v>-0.11862857142857144</x:v>
      </x:c>
      <x:c r="C121" s="3" t="n">
        <x:f>Chu_ky!C15*(Chu_ky!D15*Tinh_toan_x2!E14*Tinh_toan_x2!E17+F121)</x:f>
        <x:v>-441.6531428571429</x:v>
      </x:c>
      <x:c r="D121" s="3" t="n">
        <x:f>E121*B121*2*Tinh_toan_x2!E13/Tinh_toan_x2!E12</x:f>
        <x:v>135.79086342857144</x:v>
      </x:c>
      <x:c r="E121" s="3" t="n">
        <x:f>C121*Tinh_toan_x2!E12/(2*Tinh_toan_x2!E15*Tinh_toan_x2!E13)+(Tinh_toan_x2!C48+Tinh_toan_x2!E52+Tinh_toan_x2!E53/Tinh_toan_x2!E13^2)*2*Tinh_toan_x2!E13/Tinh_toan_x2!E12*F121</x:f>
        <x:v>-1.430840625</x:v>
      </x:c>
      <x:c r="F121" s="3" t="n">
        <x:f>Chu_ky!D15*(Chu_ky!F15+Chu_ky!E15*(Chu_ky!B15*6/10))</x:f>
        <x:v>-0.027428571428571434</x:v>
      </x:c>
      <x:c r="G121" s="3" t="n">
        <x:f>Chu_ky!D15*Chu_ky!E15</x:f>
        <x:v>0.2742857142857143</x:v>
      </x:c>
      <x:c r="H121" s="3" t="str">
        <x:f>Chu_ky!A15</x:f>
        <x:v>Không tải tăng j-</x:v>
      </x:c>
    </x:row>
    <x:row r="122" ht="32" customHeight="1">
      <x:c r="A122" s="3" t="n">
        <x:f>Chu_ky!H15+(Chu_ky!B15*7/10)</x:f>
        <x:v>123.925</x:v>
      </x:c>
      <x:c r="B122" s="3" t="n">
        <x:f>Chu_ky!D15*(Chu_ky!G15+Chu_ky!F15*(Chu_ky!B15*7/10)+0.5*Chu_ky!E15*(Chu_ky!B15*7/10)^2)</x:f>
        <x:v>-0.11922857142857145</x:v>
      </x:c>
      <x:c r="C122" s="3" t="n">
        <x:f>Chu_ky!C15*(Chu_ky!D15*Tinh_toan_x2!E14*Tinh_toan_x2!E17+F122)</x:f>
        <x:v>-440.13085714285717</x:v>
      </x:c>
      <x:c r="D122" s="3" t="n">
        <x:f>E122*B122*2*Tinh_toan_x2!E13/Tinh_toan_x2!E12</x:f>
        <x:v>115.88212350000005</x:v>
      </x:c>
      <x:c r="E122" s="3" t="n">
        <x:f>C122*Tinh_toan_x2!E12/(2*Tinh_toan_x2!E15*Tinh_toan_x2!E13)+(Tinh_toan_x2!C48+Tinh_toan_x2!E52+Tinh_toan_x2!E53/Tinh_toan_x2!E13^2)*2*Tinh_toan_x2!E13/Tinh_toan_x2!E12*F122</x:f>
        <x:v>-1.2149156250000002</x:v>
      </x:c>
      <x:c r="F122" s="3" t="n">
        <x:f>Chu_ky!D15*(Chu_ky!F15+Chu_ky!E15*(Chu_ky!B15*7/10))</x:f>
        <x:v>-0.020571428571428574</x:v>
      </x:c>
      <x:c r="G122" s="3" t="n">
        <x:f>Chu_ky!D15*Chu_ky!E15</x:f>
        <x:v>0.2742857142857143</x:v>
      </x:c>
      <x:c r="H122" s="3" t="str">
        <x:f>Chu_ky!A15</x:f>
        <x:v>Không tải tăng j-</x:v>
      </x:c>
    </x:row>
    <x:row r="123" ht="32" customHeight="1">
      <x:c r="A123" s="3" t="n">
        <x:f>Chu_ky!H15+(Chu_ky!B15*8/10)</x:f>
        <x:v>123.95</x:v>
      </x:c>
      <x:c r="B123" s="3" t="n">
        <x:f>Chu_ky!D15*(Chu_ky!G15+Chu_ky!F15*(Chu_ky!B15*8/10)+0.5*Chu_ky!E15*(Chu_ky!B15*8/10)^2)</x:f>
        <x:v>-0.11965714285714288</x:v>
      </x:c>
      <x:c r="C123" s="3" t="n">
        <x:f>Chu_ky!C15*(Chu_ky!D15*Tinh_toan_x2!E14*Tinh_toan_x2!E17+F123)</x:f>
        <x:v>-438.6085714285715</x:v>
      </x:c>
      <x:c r="D123" s="3" t="n">
        <x:f>E123*B123*2*Tinh_toan_x2!E13/Tinh_toan_x2!E12</x:f>
        <x:v>95.62909114285716</x:v>
      </x:c>
      <x:c r="E123" s="3" t="n">
        <x:f>C123*Tinh_toan_x2!E12/(2*Tinh_toan_x2!E15*Tinh_toan_x2!E13)+(Tinh_toan_x2!C48+Tinh_toan_x2!E52+Tinh_toan_x2!E53/Tinh_toan_x2!E13^2)*2*Tinh_toan_x2!E13/Tinh_toan_x2!E12*F123</x:f>
        <x:v>-0.998990625</x:v>
      </x:c>
      <x:c r="F123" s="3" t="n">
        <x:f>Chu_ky!D15*(Chu_ky!F15+Chu_ky!E15*(Chu_ky!B15*8/10))</x:f>
        <x:v>-0.013714285714285714</x:v>
      </x:c>
      <x:c r="G123" s="3" t="n">
        <x:f>Chu_ky!D15*Chu_ky!E15</x:f>
        <x:v>0.2742857142857143</x:v>
      </x:c>
      <x:c r="H123" s="3" t="str">
        <x:f>Chu_ky!A15</x:f>
        <x:v>Không tải tăng j-</x:v>
      </x:c>
    </x:row>
    <x:row r="124" ht="32" customHeight="1">
      <x:c r="A124" s="3" t="n">
        <x:f>Chu_ky!H15+(Chu_ky!B15*9/10)</x:f>
        <x:v>123.975</x:v>
      </x:c>
      <x:c r="B124" s="3" t="n">
        <x:f>Chu_ky!D15*(Chu_ky!G15+Chu_ky!F15*(Chu_ky!B15*9/10)+0.5*Chu_ky!E15*(Chu_ky!B15*9/10)^2)</x:f>
        <x:v>-0.11991428571428575</x:v>
      </x:c>
      <x:c r="C124" s="3" t="n">
        <x:f>Chu_ky!C15*(Chu_ky!D15*Tinh_toan_x2!E14*Tinh_toan_x2!E17+F124)</x:f>
        <x:v>-437.08628571428574</x:v>
      </x:c>
      <x:c r="D124" s="3" t="n">
        <x:f>E124*B124*2*Tinh_toan_x2!E13/Tinh_toan_x2!E12</x:f>
        <x:v>75.12060407142859</x:v>
      </x:c>
      <x:c r="E124" s="3" t="n">
        <x:f>C124*Tinh_toan_x2!E12/(2*Tinh_toan_x2!E15*Tinh_toan_x2!E13)+(Tinh_toan_x2!C48+Tinh_toan_x2!E52+Tinh_toan_x2!E53/Tinh_toan_x2!E13^2)*2*Tinh_toan_x2!E13/Tinh_toan_x2!E12*F124</x:f>
        <x:v>-0.7830656249999999</x:v>
      </x:c>
      <x:c r="F124" s="3" t="n">
        <x:f>Chu_ky!D15*(Chu_ky!F15+Chu_ky!E15*(Chu_ky!B15*9/10))</x:f>
        <x:v>-0.006857142857142853</x:v>
      </x:c>
      <x:c r="G124" s="3" t="n">
        <x:f>Chu_ky!D15*Chu_ky!E15</x:f>
        <x:v>0.2742857142857143</x:v>
      </x:c>
      <x:c r="H124" s="3" t="str">
        <x:f>Chu_ky!A15</x:f>
        <x:v>Không tải tăng j-</x:v>
      </x:c>
    </x:row>
    <x:row r="125" ht="32" customHeight="1">
      <x:c r="A125" s="3" t="n">
        <x:f>Chu_ky!H15+(Chu_ky!B15*10/10)</x:f>
        <x:v>124</x:v>
      </x:c>
      <x:c r="B125" s="3" t="n">
        <x:f>Chu_ky!D15*(Chu_ky!G15+Chu_ky!F15*(Chu_ky!B15*10/10)+0.5*Chu_ky!E15*(Chu_ky!B15*10/10)^2)</x:f>
        <x:v>-0.12000000000000001</x:v>
      </x:c>
      <x:c r="C125" s="3" t="n">
        <x:f>Chu_ky!C15*(Chu_ky!D15*Tinh_toan_x2!E14*Tinh_toan_x2!E17+F125)</x:f>
        <x:v>-435.564</x:v>
      </x:c>
      <x:c r="D125" s="3" t="n">
        <x:f>E125*B125*2*Tinh_toan_x2!E13/Tinh_toan_x2!E12</x:f>
        <x:v>54.44550000000001</x:v>
      </x:c>
      <x:c r="E125" s="3" t="n">
        <x:f>C125*Tinh_toan_x2!E12/(2*Tinh_toan_x2!E15*Tinh_toan_x2!E13)+(Tinh_toan_x2!C48+Tinh_toan_x2!E52+Tinh_toan_x2!E53/Tinh_toan_x2!E13^2)*2*Tinh_toan_x2!E13/Tinh_toan_x2!E12*F125</x:f>
        <x:v>-0.5671406250000001</x:v>
      </x:c>
      <x:c r="F125" s="3" t="n">
        <x:f>Chu_ky!D15*(Chu_ky!F15+Chu_ky!E15*(Chu_ky!B15*10/10))</x:f>
        <x:v>0</x:v>
      </x:c>
      <x:c r="G125" s="3" t="n">
        <x:f>Chu_ky!D15*Chu_ky!E15</x:f>
        <x:v>0.2742857142857143</x:v>
      </x:c>
      <x:c r="H125" s="3" t="str">
        <x:f>Chu_ky!A15</x:f>
        <x:v>Không tải tăng j-</x:v>
      </x:c>
    </x:row>
    <x:row r="126" ht="32" customHeight="1">
      <x:c r="A126" s="3" t="n">
        <x:f>Chu_ky!H16+(Chu_ky!B16*0/10)</x:f>
        <x:v>124</x:v>
      </x:c>
      <x:c r="B126" s="3" t="n">
        <x:f>Chu_ky!D16*(Chu_ky!G16+Chu_ky!F16*(Chu_ky!B16*0/10)+0.5*Chu_ky!E16*(Chu_ky!B16*0/10)^2)</x:f>
        <x:v>-0.12000000000000001</x:v>
      </x:c>
      <x:c r="C126" s="3" t="n">
        <x:f>Chu_ky!C16*(Chu_ky!D16*Tinh_toan_x2!E14*Tinh_toan_x2!E17+F126)</x:f>
        <x:v>-435.564</x:v>
      </x:c>
      <x:c r="D126" s="3" t="n">
        <x:f>E126*B126*2*Tinh_toan_x2!E13/Tinh_toan_x2!E12</x:f>
        <x:v>54.44550000000001</x:v>
      </x:c>
      <x:c r="E126" s="3" t="n">
        <x:f>C126*Tinh_toan_x2!E12/(2*Tinh_toan_x2!E15*Tinh_toan_x2!E13)+(Tinh_toan_x2!C48+Tinh_toan_x2!E52+Tinh_toan_x2!E53/Tinh_toan_x2!E13^2)*2*Tinh_toan_x2!E13/Tinh_toan_x2!E12*F126</x:f>
        <x:v>-0.5671406250000001</x:v>
      </x:c>
      <x:c r="F126" s="3" t="n">
        <x:f>Chu_ky!D16*(Chu_ky!F16+Chu_ky!E16*(Chu_ky!B16*0/10))</x:f>
        <x:v>0</x:v>
      </x:c>
      <x:c r="G126" s="3" t="n">
        <x:f>Chu_ky!D16*Chu_ky!E16</x:f>
        <x:v>0</x:v>
      </x:c>
      <x:c r="H126" s="3" t="str">
        <x:f>Chu_ky!A16</x:f>
        <x:v>Không tải đều</x:v>
      </x:c>
    </x:row>
    <x:row r="127" ht="32" customHeight="1">
      <x:c r="A127" s="3" t="n">
        <x:f>Chu_ky!H16+(Chu_ky!B16*1/10)</x:f>
        <x:v>132.25</x:v>
      </x:c>
      <x:c r="B127" s="3" t="n">
        <x:f>Chu_ky!D16*(Chu_ky!G16+Chu_ky!F16*(Chu_ky!B16*1/10)+0.5*Chu_ky!E16*(Chu_ky!B16*1/10)^2)</x:f>
        <x:v>-0.12000000000000001</x:v>
      </x:c>
      <x:c r="C127" s="3" t="n">
        <x:f>Chu_ky!C16*(Chu_ky!D16*Tinh_toan_x2!E14*Tinh_toan_x2!E17+F127)</x:f>
        <x:v>-435.564</x:v>
      </x:c>
      <x:c r="D127" s="3" t="n">
        <x:f>E127*B127*2*Tinh_toan_x2!E13/Tinh_toan_x2!E12</x:f>
        <x:v>54.44550000000001</x:v>
      </x:c>
      <x:c r="E127" s="3" t="n">
        <x:f>C127*Tinh_toan_x2!E12/(2*Tinh_toan_x2!E15*Tinh_toan_x2!E13)+(Tinh_toan_x2!C48+Tinh_toan_x2!E52+Tinh_toan_x2!E53/Tinh_toan_x2!E13^2)*2*Tinh_toan_x2!E13/Tinh_toan_x2!E12*F127</x:f>
        <x:v>-0.5671406250000001</x:v>
      </x:c>
      <x:c r="F127" s="3" t="n">
        <x:f>Chu_ky!D16*(Chu_ky!F16+Chu_ky!E16*(Chu_ky!B16*1/10))</x:f>
        <x:v>0</x:v>
      </x:c>
      <x:c r="G127" s="3" t="n">
        <x:f>Chu_ky!D16*Chu_ky!E16</x:f>
        <x:v>0</x:v>
      </x:c>
      <x:c r="H127" s="3" t="str">
        <x:f>Chu_ky!A16</x:f>
        <x:v>Không tải đều</x:v>
      </x:c>
    </x:row>
    <x:row r="128" ht="32" customHeight="1">
      <x:c r="A128" s="3" t="n">
        <x:f>Chu_ky!H16+(Chu_ky!B16*2/10)</x:f>
        <x:v>140.5</x:v>
      </x:c>
      <x:c r="B128" s="3" t="n">
        <x:f>Chu_ky!D16*(Chu_ky!G16+Chu_ky!F16*(Chu_ky!B16*2/10)+0.5*Chu_ky!E16*(Chu_ky!B16*2/10)^2)</x:f>
        <x:v>-0.12000000000000001</x:v>
      </x:c>
      <x:c r="C128" s="3" t="n">
        <x:f>Chu_ky!C16*(Chu_ky!D16*Tinh_toan_x2!E14*Tinh_toan_x2!E17+F128)</x:f>
        <x:v>-435.564</x:v>
      </x:c>
      <x:c r="D128" s="3" t="n">
        <x:f>E128*B128*2*Tinh_toan_x2!E13/Tinh_toan_x2!E12</x:f>
        <x:v>54.44550000000001</x:v>
      </x:c>
      <x:c r="E128" s="3" t="n">
        <x:f>C128*Tinh_toan_x2!E12/(2*Tinh_toan_x2!E15*Tinh_toan_x2!E13)+(Tinh_toan_x2!C48+Tinh_toan_x2!E52+Tinh_toan_x2!E53/Tinh_toan_x2!E13^2)*2*Tinh_toan_x2!E13/Tinh_toan_x2!E12*F128</x:f>
        <x:v>-0.5671406250000001</x:v>
      </x:c>
      <x:c r="F128" s="3" t="n">
        <x:f>Chu_ky!D16*(Chu_ky!F16+Chu_ky!E16*(Chu_ky!B16*2/10))</x:f>
        <x:v>0</x:v>
      </x:c>
      <x:c r="G128" s="3" t="n">
        <x:f>Chu_ky!D16*Chu_ky!E16</x:f>
        <x:v>0</x:v>
      </x:c>
      <x:c r="H128" s="3" t="str">
        <x:f>Chu_ky!A16</x:f>
        <x:v>Không tải đều</x:v>
      </x:c>
    </x:row>
    <x:row r="129" ht="32" customHeight="1">
      <x:c r="A129" s="3" t="n">
        <x:f>Chu_ky!H16+(Chu_ky!B16*3/10)</x:f>
        <x:v>148.75</x:v>
      </x:c>
      <x:c r="B129" s="3" t="n">
        <x:f>Chu_ky!D16*(Chu_ky!G16+Chu_ky!F16*(Chu_ky!B16*3/10)+0.5*Chu_ky!E16*(Chu_ky!B16*3/10)^2)</x:f>
        <x:v>-0.12000000000000001</x:v>
      </x:c>
      <x:c r="C129" s="3" t="n">
        <x:f>Chu_ky!C16*(Chu_ky!D16*Tinh_toan_x2!E14*Tinh_toan_x2!E17+F129)</x:f>
        <x:v>-435.564</x:v>
      </x:c>
      <x:c r="D129" s="3" t="n">
        <x:f>E129*B129*2*Tinh_toan_x2!E13/Tinh_toan_x2!E12</x:f>
        <x:v>54.44550000000001</x:v>
      </x:c>
      <x:c r="E129" s="3" t="n">
        <x:f>C129*Tinh_toan_x2!E12/(2*Tinh_toan_x2!E15*Tinh_toan_x2!E13)+(Tinh_toan_x2!C48+Tinh_toan_x2!E52+Tinh_toan_x2!E53/Tinh_toan_x2!E13^2)*2*Tinh_toan_x2!E13/Tinh_toan_x2!E12*F129</x:f>
        <x:v>-0.5671406250000001</x:v>
      </x:c>
      <x:c r="F129" s="3" t="n">
        <x:f>Chu_ky!D16*(Chu_ky!F16+Chu_ky!E16*(Chu_ky!B16*3/10))</x:f>
        <x:v>0</x:v>
      </x:c>
      <x:c r="G129" s="3" t="n">
        <x:f>Chu_ky!D16*Chu_ky!E16</x:f>
        <x:v>0</x:v>
      </x:c>
      <x:c r="H129" s="3" t="str">
        <x:f>Chu_ky!A16</x:f>
        <x:v>Không tải đều</x:v>
      </x:c>
    </x:row>
    <x:row r="130" ht="32" customHeight="1">
      <x:c r="A130" s="3" t="n">
        <x:f>Chu_ky!H16+(Chu_ky!B16*4/10)</x:f>
        <x:v>157</x:v>
      </x:c>
      <x:c r="B130" s="3" t="n">
        <x:f>Chu_ky!D16*(Chu_ky!G16+Chu_ky!F16*(Chu_ky!B16*4/10)+0.5*Chu_ky!E16*(Chu_ky!B16*4/10)^2)</x:f>
        <x:v>-0.12000000000000001</x:v>
      </x:c>
      <x:c r="C130" s="3" t="n">
        <x:f>Chu_ky!C16*(Chu_ky!D16*Tinh_toan_x2!E14*Tinh_toan_x2!E17+F130)</x:f>
        <x:v>-435.564</x:v>
      </x:c>
      <x:c r="D130" s="3" t="n">
        <x:f>E130*B130*2*Tinh_toan_x2!E13/Tinh_toan_x2!E12</x:f>
        <x:v>54.44550000000001</x:v>
      </x:c>
      <x:c r="E130" s="3" t="n">
        <x:f>C130*Tinh_toan_x2!E12/(2*Tinh_toan_x2!E15*Tinh_toan_x2!E13)+(Tinh_toan_x2!C48+Tinh_toan_x2!E52+Tinh_toan_x2!E53/Tinh_toan_x2!E13^2)*2*Tinh_toan_x2!E13/Tinh_toan_x2!E12*F130</x:f>
        <x:v>-0.5671406250000001</x:v>
      </x:c>
      <x:c r="F130" s="3" t="n">
        <x:f>Chu_ky!D16*(Chu_ky!F16+Chu_ky!E16*(Chu_ky!B16*4/10))</x:f>
        <x:v>0</x:v>
      </x:c>
      <x:c r="G130" s="3" t="n">
        <x:f>Chu_ky!D16*Chu_ky!E16</x:f>
        <x:v>0</x:v>
      </x:c>
      <x:c r="H130" s="3" t="str">
        <x:f>Chu_ky!A16</x:f>
        <x:v>Không tải đều</x:v>
      </x:c>
    </x:row>
    <x:row r="131" ht="32" customHeight="1">
      <x:c r="A131" s="3" t="n">
        <x:f>Chu_ky!H16+(Chu_ky!B16*5/10)</x:f>
        <x:v>165.25</x:v>
      </x:c>
      <x:c r="B131" s="3" t="n">
        <x:f>Chu_ky!D16*(Chu_ky!G16+Chu_ky!F16*(Chu_ky!B16*5/10)+0.5*Chu_ky!E16*(Chu_ky!B16*5/10)^2)</x:f>
        <x:v>-0.12000000000000001</x:v>
      </x:c>
      <x:c r="C131" s="3" t="n">
        <x:f>Chu_ky!C16*(Chu_ky!D16*Tinh_toan_x2!E14*Tinh_toan_x2!E17+F131)</x:f>
        <x:v>-435.564</x:v>
      </x:c>
      <x:c r="D131" s="3" t="n">
        <x:f>E131*B131*2*Tinh_toan_x2!E13/Tinh_toan_x2!E12</x:f>
        <x:v>54.44550000000001</x:v>
      </x:c>
      <x:c r="E131" s="3" t="n">
        <x:f>C131*Tinh_toan_x2!E12/(2*Tinh_toan_x2!E15*Tinh_toan_x2!E13)+(Tinh_toan_x2!C48+Tinh_toan_x2!E52+Tinh_toan_x2!E53/Tinh_toan_x2!E13^2)*2*Tinh_toan_x2!E13/Tinh_toan_x2!E12*F131</x:f>
        <x:v>-0.5671406250000001</x:v>
      </x:c>
      <x:c r="F131" s="3" t="n">
        <x:f>Chu_ky!D16*(Chu_ky!F16+Chu_ky!E16*(Chu_ky!B16*5/10))</x:f>
        <x:v>0</x:v>
      </x:c>
      <x:c r="G131" s="3" t="n">
        <x:f>Chu_ky!D16*Chu_ky!E16</x:f>
        <x:v>0</x:v>
      </x:c>
      <x:c r="H131" s="3" t="str">
        <x:f>Chu_ky!A16</x:f>
        <x:v>Không tải đều</x:v>
      </x:c>
    </x:row>
    <x:row r="132" ht="32" customHeight="1">
      <x:c r="A132" s="3" t="n">
        <x:f>Chu_ky!H16+(Chu_ky!B16*6/10)</x:f>
        <x:v>173.5</x:v>
      </x:c>
      <x:c r="B132" s="3" t="n">
        <x:f>Chu_ky!D16*(Chu_ky!G16+Chu_ky!F16*(Chu_ky!B16*6/10)+0.5*Chu_ky!E16*(Chu_ky!B16*6/10)^2)</x:f>
        <x:v>-0.12000000000000001</x:v>
      </x:c>
      <x:c r="C132" s="3" t="n">
        <x:f>Chu_ky!C16*(Chu_ky!D16*Tinh_toan_x2!E14*Tinh_toan_x2!E17+F132)</x:f>
        <x:v>-435.564</x:v>
      </x:c>
      <x:c r="D132" s="3" t="n">
        <x:f>E132*B132*2*Tinh_toan_x2!E13/Tinh_toan_x2!E12</x:f>
        <x:v>54.44550000000001</x:v>
      </x:c>
      <x:c r="E132" s="3" t="n">
        <x:f>C132*Tinh_toan_x2!E12/(2*Tinh_toan_x2!E15*Tinh_toan_x2!E13)+(Tinh_toan_x2!C48+Tinh_toan_x2!E52+Tinh_toan_x2!E53/Tinh_toan_x2!E13^2)*2*Tinh_toan_x2!E13/Tinh_toan_x2!E12*F132</x:f>
        <x:v>-0.5671406250000001</x:v>
      </x:c>
      <x:c r="F132" s="3" t="n">
        <x:f>Chu_ky!D16*(Chu_ky!F16+Chu_ky!E16*(Chu_ky!B16*6/10))</x:f>
        <x:v>0</x:v>
      </x:c>
      <x:c r="G132" s="3" t="n">
        <x:f>Chu_ky!D16*Chu_ky!E16</x:f>
        <x:v>0</x:v>
      </x:c>
      <x:c r="H132" s="3" t="str">
        <x:f>Chu_ky!A16</x:f>
        <x:v>Không tải đều</x:v>
      </x:c>
    </x:row>
    <x:row r="133" ht="32" customHeight="1">
      <x:c r="A133" s="3" t="n">
        <x:f>Chu_ky!H16+(Chu_ky!B16*7/10)</x:f>
        <x:v>181.75</x:v>
      </x:c>
      <x:c r="B133" s="3" t="n">
        <x:f>Chu_ky!D16*(Chu_ky!G16+Chu_ky!F16*(Chu_ky!B16*7/10)+0.5*Chu_ky!E16*(Chu_ky!B16*7/10)^2)</x:f>
        <x:v>-0.12000000000000001</x:v>
      </x:c>
      <x:c r="C133" s="3" t="n">
        <x:f>Chu_ky!C16*(Chu_ky!D16*Tinh_toan_x2!E14*Tinh_toan_x2!E17+F133)</x:f>
        <x:v>-435.564</x:v>
      </x:c>
      <x:c r="D133" s="3" t="n">
        <x:f>E133*B133*2*Tinh_toan_x2!E13/Tinh_toan_x2!E12</x:f>
        <x:v>54.44550000000001</x:v>
      </x:c>
      <x:c r="E133" s="3" t="n">
        <x:f>C133*Tinh_toan_x2!E12/(2*Tinh_toan_x2!E15*Tinh_toan_x2!E13)+(Tinh_toan_x2!C48+Tinh_toan_x2!E52+Tinh_toan_x2!E53/Tinh_toan_x2!E13^2)*2*Tinh_toan_x2!E13/Tinh_toan_x2!E12*F133</x:f>
        <x:v>-0.5671406250000001</x:v>
      </x:c>
      <x:c r="F133" s="3" t="n">
        <x:f>Chu_ky!D16*(Chu_ky!F16+Chu_ky!E16*(Chu_ky!B16*7/10))</x:f>
        <x:v>0</x:v>
      </x:c>
      <x:c r="G133" s="3" t="n">
        <x:f>Chu_ky!D16*Chu_ky!E16</x:f>
        <x:v>0</x:v>
      </x:c>
      <x:c r="H133" s="3" t="str">
        <x:f>Chu_ky!A16</x:f>
        <x:v>Không tải đều</x:v>
      </x:c>
    </x:row>
    <x:row r="134" ht="32" customHeight="1">
      <x:c r="A134" s="3" t="n">
        <x:f>Chu_ky!H16+(Chu_ky!B16*8/10)</x:f>
        <x:v>190</x:v>
      </x:c>
      <x:c r="B134" s="3" t="n">
        <x:f>Chu_ky!D16*(Chu_ky!G16+Chu_ky!F16*(Chu_ky!B16*8/10)+0.5*Chu_ky!E16*(Chu_ky!B16*8/10)^2)</x:f>
        <x:v>-0.12000000000000001</x:v>
      </x:c>
      <x:c r="C134" s="3" t="n">
        <x:f>Chu_ky!C16*(Chu_ky!D16*Tinh_toan_x2!E14*Tinh_toan_x2!E17+F134)</x:f>
        <x:v>-435.564</x:v>
      </x:c>
      <x:c r="D134" s="3" t="n">
        <x:f>E134*B134*2*Tinh_toan_x2!E13/Tinh_toan_x2!E12</x:f>
        <x:v>54.44550000000001</x:v>
      </x:c>
      <x:c r="E134" s="3" t="n">
        <x:f>C134*Tinh_toan_x2!E12/(2*Tinh_toan_x2!E15*Tinh_toan_x2!E13)+(Tinh_toan_x2!C48+Tinh_toan_x2!E52+Tinh_toan_x2!E53/Tinh_toan_x2!E13^2)*2*Tinh_toan_x2!E13/Tinh_toan_x2!E12*F134</x:f>
        <x:v>-0.5671406250000001</x:v>
      </x:c>
      <x:c r="F134" s="3" t="n">
        <x:f>Chu_ky!D16*(Chu_ky!F16+Chu_ky!E16*(Chu_ky!B16*8/10))</x:f>
        <x:v>0</x:v>
      </x:c>
      <x:c r="G134" s="3" t="n">
        <x:f>Chu_ky!D16*Chu_ky!E16</x:f>
        <x:v>0</x:v>
      </x:c>
      <x:c r="H134" s="3" t="str">
        <x:f>Chu_ky!A16</x:f>
        <x:v>Không tải đều</x:v>
      </x:c>
    </x:row>
    <x:row r="135" ht="32" customHeight="1">
      <x:c r="A135" s="3" t="n">
        <x:f>Chu_ky!H16+(Chu_ky!B16*9/10)</x:f>
        <x:v>198.25</x:v>
      </x:c>
      <x:c r="B135" s="3" t="n">
        <x:f>Chu_ky!D16*(Chu_ky!G16+Chu_ky!F16*(Chu_ky!B16*9/10)+0.5*Chu_ky!E16*(Chu_ky!B16*9/10)^2)</x:f>
        <x:v>-0.12000000000000001</x:v>
      </x:c>
      <x:c r="C135" s="3" t="n">
        <x:f>Chu_ky!C16*(Chu_ky!D16*Tinh_toan_x2!E14*Tinh_toan_x2!E17+F135)</x:f>
        <x:v>-435.564</x:v>
      </x:c>
      <x:c r="D135" s="3" t="n">
        <x:f>E135*B135*2*Tinh_toan_x2!E13/Tinh_toan_x2!E12</x:f>
        <x:v>54.44550000000001</x:v>
      </x:c>
      <x:c r="E135" s="3" t="n">
        <x:f>C135*Tinh_toan_x2!E12/(2*Tinh_toan_x2!E15*Tinh_toan_x2!E13)+(Tinh_toan_x2!C48+Tinh_toan_x2!E52+Tinh_toan_x2!E53/Tinh_toan_x2!E13^2)*2*Tinh_toan_x2!E13/Tinh_toan_x2!E12*F135</x:f>
        <x:v>-0.5671406250000001</x:v>
      </x:c>
      <x:c r="F135" s="3" t="n">
        <x:f>Chu_ky!D16*(Chu_ky!F16+Chu_ky!E16*(Chu_ky!B16*9/10))</x:f>
        <x:v>0</x:v>
      </x:c>
      <x:c r="G135" s="3" t="n">
        <x:f>Chu_ky!D16*Chu_ky!E16</x:f>
        <x:v>0</x:v>
      </x:c>
      <x:c r="H135" s="3" t="str">
        <x:f>Chu_ky!A16</x:f>
        <x:v>Không tải đều</x:v>
      </x:c>
    </x:row>
    <x:row r="136" ht="32" customHeight="1">
      <x:c r="A136" s="3" t="n">
        <x:f>Chu_ky!H16+(Chu_ky!B16*10/10)</x:f>
        <x:v>206.5</x:v>
      </x:c>
      <x:c r="B136" s="3" t="n">
        <x:f>Chu_ky!D16*(Chu_ky!G16+Chu_ky!F16*(Chu_ky!B16*10/10)+0.5*Chu_ky!E16*(Chu_ky!B16*10/10)^2)</x:f>
        <x:v>-0.12000000000000001</x:v>
      </x:c>
      <x:c r="C136" s="3" t="n">
        <x:f>Chu_ky!C16*(Chu_ky!D16*Tinh_toan_x2!E14*Tinh_toan_x2!E17+F136)</x:f>
        <x:v>-435.564</x:v>
      </x:c>
      <x:c r="D136" s="3" t="n">
        <x:f>E136*B136*2*Tinh_toan_x2!E13/Tinh_toan_x2!E12</x:f>
        <x:v>54.44550000000001</x:v>
      </x:c>
      <x:c r="E136" s="3" t="n">
        <x:f>C136*Tinh_toan_x2!E12/(2*Tinh_toan_x2!E15*Tinh_toan_x2!E13)+(Tinh_toan_x2!C48+Tinh_toan_x2!E52+Tinh_toan_x2!E53/Tinh_toan_x2!E13^2)*2*Tinh_toan_x2!E13/Tinh_toan_x2!E12*F136</x:f>
        <x:v>-0.5671406250000001</x:v>
      </x:c>
      <x:c r="F136" s="3" t="n">
        <x:f>Chu_ky!D16*(Chu_ky!F16+Chu_ky!E16*(Chu_ky!B16*10/10))</x:f>
        <x:v>0</x:v>
      </x:c>
      <x:c r="G136" s="3" t="n">
        <x:f>Chu_ky!D16*Chu_ky!E16</x:f>
        <x:v>0</x:v>
      </x:c>
      <x:c r="H136" s="3" t="str">
        <x:f>Chu_ky!A16</x:f>
        <x:v>Không tải đều</x:v>
      </x:c>
    </x:row>
    <x:row r="137" ht="32" customHeight="1">
      <x:c r="A137" s="3" t="n">
        <x:f>Chu_ky!H17+(Chu_ky!B17*0/10)</x:f>
        <x:v>206.5</x:v>
      </x:c>
      <x:c r="B137" s="3" t="n">
        <x:f>Chu_ky!D17*(Chu_ky!G17+Chu_ky!F17*(Chu_ky!B17*0/10)+0.5*Chu_ky!E17*(Chu_ky!B17*0/10)^2)</x:f>
        <x:v>-0.12000000000000001</x:v>
      </x:c>
      <x:c r="C137" s="3" t="n">
        <x:f>Chu_ky!C17*(Chu_ky!D17*Tinh_toan_x2!E14*Tinh_toan_x2!E17+F137)</x:f>
        <x:v>-435.564</x:v>
      </x:c>
      <x:c r="D137" s="3" t="n">
        <x:f>E137*B137*2*Tinh_toan_x2!E13/Tinh_toan_x2!E12</x:f>
        <x:v>54.44550000000001</x:v>
      </x:c>
      <x:c r="E137" s="3" t="n">
        <x:f>C137*Tinh_toan_x2!E12/(2*Tinh_toan_x2!E15*Tinh_toan_x2!E13)+(Tinh_toan_x2!C48+Tinh_toan_x2!E52+Tinh_toan_x2!E53/Tinh_toan_x2!E13^2)*2*Tinh_toan_x2!E13/Tinh_toan_x2!E12*F137</x:f>
        <x:v>-0.5671406250000001</x:v>
      </x:c>
      <x:c r="F137" s="3" t="n">
        <x:f>Chu_ky!D17*(Chu_ky!F17+Chu_ky!E17*(Chu_ky!B17*0/10))</x:f>
        <x:v>0</x:v>
      </x:c>
      <x:c r="G137" s="3" t="n">
        <x:f>Chu_ky!D17*Chu_ky!E17</x:f>
        <x:v>0.10105263157894738</x:v>
      </x:c>
      <x:c r="H137" s="3" t="str">
        <x:f>Chu_ky!A17</x:f>
        <x:v>Không tải giảm j-</x:v>
      </x:c>
    </x:row>
    <x:row r="138" ht="32" customHeight="1">
      <x:c r="A138" s="3" t="n">
        <x:f>Chu_ky!H17+(Chu_ky!B17*1/10)</x:f>
        <x:v>206.525</x:v>
      </x:c>
      <x:c r="B138" s="3" t="n">
        <x:f>Chu_ky!D17*(Chu_ky!G17+Chu_ky!F17*(Chu_ky!B17*1/10)+0.5*Chu_ky!E17*(Chu_ky!B17*1/10)^2)</x:f>
        <x:v>-0.11996842105263159</x:v>
      </x:c>
      <x:c r="C138" s="3" t="n">
        <x:f>Chu_ky!C17*(Chu_ky!D17*Tinh_toan_x2!E14*Tinh_toan_x2!E17+F138)</x:f>
        <x:v>-435.0031578947369</x:v>
      </x:c>
      <x:c r="D138" s="3" t="n">
        <x:f>E138*B138*2*Tinh_toan_x2!E13/Tinh_toan_x2!E12</x:f>
        <x:v>46.796255638504164</x:v>
      </x:c>
      <x:c r="E138" s="3" t="n">
        <x:f>C138*Tinh_toan_x2!E12/(2*Tinh_toan_x2!E15*Tinh_toan_x2!E13)+(Tinh_toan_x2!C48+Tinh_toan_x2!E52+Tinh_toan_x2!E53/Tinh_toan_x2!E13^2)*2*Tinh_toan_x2!E13/Tinh_toan_x2!E12*F138</x:f>
        <x:v>-0.4875893092105264</x:v>
      </x:c>
      <x:c r="F138" s="3" t="n">
        <x:f>Chu_ky!D17*(Chu_ky!F17+Chu_ky!E17*(Chu_ky!B17*1/10))</x:f>
        <x:v>0.0025263157894736847</x:v>
      </x:c>
      <x:c r="G138" s="3" t="n">
        <x:f>Chu_ky!D17*Chu_ky!E17</x:f>
        <x:v>0.10105263157894738</x:v>
      </x:c>
      <x:c r="H138" s="3" t="str">
        <x:f>Chu_ky!A17</x:f>
        <x:v>Không tải giảm j-</x:v>
      </x:c>
    </x:row>
    <x:row r="139" ht="32" customHeight="1">
      <x:c r="A139" s="3" t="n">
        <x:f>Chu_ky!H17+(Chu_ky!B17*2/10)</x:f>
        <x:v>206.55</x:v>
      </x:c>
      <x:c r="B139" s="3" t="n">
        <x:f>Chu_ky!D17*(Chu_ky!G17+Chu_ky!F17*(Chu_ky!B17*2/10)+0.5*Chu_ky!E17*(Chu_ky!B17*2/10)^2)</x:f>
        <x:v>-0.11987368421052633</x:v>
      </x:c>
      <x:c r="C139" s="3" t="n">
        <x:f>Chu_ky!C17*(Chu_ky!D17*Tinh_toan_x2!E14*Tinh_toan_x2!E17+F139)</x:f>
        <x:v>-434.4423157894737</x:v>
      </x:c>
      <x:c r="D139" s="3" t="n">
        <x:f>E139*B139*2*Tinh_toan_x2!E13/Tinh_toan_x2!E12</x:f>
        <x:v>39.130414055401666</x:v>
      </x:c>
      <x:c r="E139" s="3" t="n">
        <x:f>C139*Tinh_toan_x2!E12/(2*Tinh_toan_x2!E15*Tinh_toan_x2!E13)+(Tinh_toan_x2!C48+Tinh_toan_x2!E52+Tinh_toan_x2!E53/Tinh_toan_x2!E13^2)*2*Tinh_toan_x2!E13/Tinh_toan_x2!E12*F139</x:f>
        <x:v>-0.4080379934210526</x:v>
      </x:c>
      <x:c r="F139" s="3" t="n">
        <x:f>Chu_ky!D17*(Chu_ky!F17+Chu_ky!E17*(Chu_ky!B17*2/10))</x:f>
        <x:v>0.005052631578947369</x:v>
      </x:c>
      <x:c r="G139" s="3" t="n">
        <x:f>Chu_ky!D17*Chu_ky!E17</x:f>
        <x:v>0.10105263157894738</x:v>
      </x:c>
      <x:c r="H139" s="3" t="str">
        <x:f>Chu_ky!A17</x:f>
        <x:v>Không tải giảm j-</x:v>
      </x:c>
    </x:row>
    <x:row r="140" ht="32" customHeight="1">
      <x:c r="A140" s="3" t="n">
        <x:f>Chu_ky!H17+(Chu_ky!B17*3/10)</x:f>
        <x:v>206.575</x:v>
      </x:c>
      <x:c r="B140" s="3" t="n">
        <x:f>Chu_ky!D17*(Chu_ky!G17+Chu_ky!F17*(Chu_ky!B17*3/10)+0.5*Chu_ky!E17*(Chu_ky!B17*3/10)^2)</x:f>
        <x:v>-0.11971578947368422</x:v>
      </x:c>
      <x:c r="C140" s="3" t="n">
        <x:f>Chu_ky!C17*(Chu_ky!D17*Tinh_toan_x2!E14*Tinh_toan_x2!E17+F140)</x:f>
        <x:v>-433.88147368421056</x:v>
      </x:c>
      <x:c r="D140" s="3" t="n">
        <x:f>E140*B140*2*Tinh_toan_x2!E13/Tinh_toan_x2!E12</x:f>
        <x:v>31.460033555401672</x:v>
      </x:c>
      <x:c r="E140" s="3" t="n">
        <x:f>C140*Tinh_toan_x2!E12/(2*Tinh_toan_x2!E15*Tinh_toan_x2!E13)+(Tinh_toan_x2!C48+Tinh_toan_x2!E52+Tinh_toan_x2!E53/Tinh_toan_x2!E13^2)*2*Tinh_toan_x2!E13/Tinh_toan_x2!E12*F140</x:f>
        <x:v>-0.328486677631579</x:v>
      </x:c>
      <x:c r="F140" s="3" t="n">
        <x:f>Chu_ky!D17*(Chu_ky!F17+Chu_ky!E17*(Chu_ky!B17*3/10))</x:f>
        <x:v>0.007578947368421053</x:v>
      </x:c>
      <x:c r="G140" s="3" t="n">
        <x:f>Chu_ky!D17*Chu_ky!E17</x:f>
        <x:v>0.10105263157894738</x:v>
      </x:c>
      <x:c r="H140" s="3" t="str">
        <x:f>Chu_ky!A17</x:f>
        <x:v>Không tải giảm j-</x:v>
      </x:c>
    </x:row>
    <x:row r="141" ht="32" customHeight="1">
      <x:c r="A141" s="3" t="n">
        <x:f>Chu_ky!H17+(Chu_ky!B17*4/10)</x:f>
        <x:v>206.6</x:v>
      </x:c>
      <x:c r="B141" s="3" t="n">
        <x:f>Chu_ky!D17*(Chu_ky!G17+Chu_ky!F17*(Chu_ky!B17*4/10)+0.5*Chu_ky!E17*(Chu_ky!B17*4/10)^2)</x:f>
        <x:v>-0.11949473684210528</x:v>
      </x:c>
      <x:c r="C141" s="3" t="n">
        <x:f>Chu_ky!C17*(Chu_ky!D17*Tinh_toan_x2!E14*Tinh_toan_x2!E17+F141)</x:f>
        <x:v>-433.32063157894737</x:v>
      </x:c>
      <x:c r="D141" s="3" t="n">
        <x:f>E141*B141*2*Tinh_toan_x2!E13/Tinh_toan_x2!E12</x:f>
        <x:v>23.79717244321329</x:v>
      </x:c>
      <x:c r="E141" s="3" t="n">
        <x:f>C141*Tinh_toan_x2!E12/(2*Tinh_toan_x2!E15*Tinh_toan_x2!E13)+(Tinh_toan_x2!C48+Tinh_toan_x2!E52+Tinh_toan_x2!E53/Tinh_toan_x2!E13^2)*2*Tinh_toan_x2!E13/Tinh_toan_x2!E12*F141</x:f>
        <x:v>-0.24893536184210519</x:v>
      </x:c>
      <x:c r="F141" s="3" t="n">
        <x:f>Chu_ky!D17*(Chu_ky!F17+Chu_ky!E17*(Chu_ky!B17*4/10))</x:f>
        <x:v>0.010105263157894739</x:v>
      </x:c>
      <x:c r="G141" s="3" t="n">
        <x:f>Chu_ky!D17*Chu_ky!E17</x:f>
        <x:v>0.10105263157894738</x:v>
      </x:c>
      <x:c r="H141" s="3" t="str">
        <x:f>Chu_ky!A17</x:f>
        <x:v>Không tải giảm j-</x:v>
      </x:c>
    </x:row>
    <x:row r="142" ht="32" customHeight="1">
      <x:c r="A142" s="3" t="n">
        <x:f>Chu_ky!H17+(Chu_ky!B17*5/10)</x:f>
        <x:v>206.625</x:v>
      </x:c>
      <x:c r="B142" s="3" t="n">
        <x:f>Chu_ky!D17*(Chu_ky!G17+Chu_ky!F17*(Chu_ky!B17*5/10)+0.5*Chu_ky!E17*(Chu_ky!B17*5/10)^2)</x:f>
        <x:v>-0.11921052631578949</x:v>
      </x:c>
      <x:c r="C142" s="3" t="n">
        <x:f>Chu_ky!C17*(Chu_ky!D17*Tinh_toan_x2!E14*Tinh_toan_x2!E17+F142)</x:f>
        <x:v>-432.7597894736843</x:v>
      </x:c>
      <x:c r="D142" s="3" t="n">
        <x:f>E142*B142*2*Tinh_toan_x2!E13/Tinh_toan_x2!E12</x:f>
        <x:v>16.153889023545716</x:v>
      </x:c>
      <x:c r="E142" s="3" t="n">
        <x:f>C142*Tinh_toan_x2!E12/(2*Tinh_toan_x2!E15*Tinh_toan_x2!E13)+(Tinh_toan_x2!C48+Tinh_toan_x2!E52+Tinh_toan_x2!E53/Tinh_toan_x2!E13^2)*2*Tinh_toan_x2!E13/Tinh_toan_x2!E12*F142</x:f>
        <x:v>-0.16938404605263163</x:v>
      </x:c>
      <x:c r="F142" s="3" t="n">
        <x:f>Chu_ky!D17*(Chu_ky!F17+Chu_ky!E17*(Chu_ky!B17*5/10))</x:f>
        <x:v>0.012631578947368423</x:v>
      </x:c>
      <x:c r="G142" s="3" t="n">
        <x:f>Chu_ky!D17*Chu_ky!E17</x:f>
        <x:v>0.10105263157894738</x:v>
      </x:c>
      <x:c r="H142" s="3" t="str">
        <x:f>Chu_ky!A17</x:f>
        <x:v>Không tải giảm j-</x:v>
      </x:c>
    </x:row>
    <x:row r="143" ht="32" customHeight="1">
      <x:c r="A143" s="3" t="n">
        <x:f>Chu_ky!H17+(Chu_ky!B17*6/10)</x:f>
        <x:v>206.65</x:v>
      </x:c>
      <x:c r="B143" s="3" t="n">
        <x:f>Chu_ky!D17*(Chu_ky!G17+Chu_ky!F17*(Chu_ky!B17*6/10)+0.5*Chu_ky!E17*(Chu_ky!B17*6/10)^2)</x:f>
        <x:v>-0.11886315789473685</x:v>
      </x:c>
      <x:c r="C143" s="3" t="n">
        <x:f>Chu_ky!C17*(Chu_ky!D17*Tinh_toan_x2!E14*Tinh_toan_x2!E17+F143)</x:f>
        <x:v>-432.1989473684211</x:v>
      </x:c>
      <x:c r="D143" s="3" t="n">
        <x:f>E143*B143*2*Tinh_toan_x2!E13/Tinh_toan_x2!E12</x:f>
        <x:v>8.542241601108035</x:v>
      </x:c>
      <x:c r="E143" s="3" t="n">
        <x:f>C143*Tinh_toan_x2!E12/(2*Tinh_toan_x2!E15*Tinh_toan_x2!E13)+(Tinh_toan_x2!C48+Tinh_toan_x2!E52+Tinh_toan_x2!E53/Tinh_toan_x2!E13^2)*2*Tinh_toan_x2!E13/Tinh_toan_x2!E12*F143</x:f>
        <x:v>-0.08983273026315791</x:v>
      </x:c>
      <x:c r="F143" s="3" t="n">
        <x:f>Chu_ky!D17*(Chu_ky!F17+Chu_ky!E17*(Chu_ky!B17*6/10))</x:f>
        <x:v>0.015157894736842106</x:v>
      </x:c>
      <x:c r="G143" s="3" t="n">
        <x:f>Chu_ky!D17*Chu_ky!E17</x:f>
        <x:v>0.10105263157894738</x:v>
      </x:c>
      <x:c r="H143" s="3" t="str">
        <x:f>Chu_ky!A17</x:f>
        <x:v>Không tải giảm j-</x:v>
      </x:c>
    </x:row>
    <x:row r="144" ht="32" customHeight="1">
      <x:c r="A144" s="3" t="n">
        <x:f>Chu_ky!H17+(Chu_ky!B17*7/10)</x:f>
        <x:v>206.675</x:v>
      </x:c>
      <x:c r="B144" s="3" t="n">
        <x:f>Chu_ky!D17*(Chu_ky!G17+Chu_ky!F17*(Chu_ky!B17*7/10)+0.5*Chu_ky!E17*(Chu_ky!B17*7/10)^2)</x:f>
        <x:v>-0.11845263157894738</x:v>
      </x:c>
      <x:c r="C144" s="3" t="n">
        <x:f>Chu_ky!C17*(Chu_ky!D17*Tinh_toan_x2!E14*Tinh_toan_x2!E17+F144)</x:f>
        <x:v>-431.63810526315797</x:v>
      </x:c>
      <x:c r="D144" s="3" t="n">
        <x:f>E144*B144*2*Tinh_toan_x2!E13/Tinh_toan_x2!E12</x:f>
        <x:v>0.9742884806094217</x:v>
      </x:c>
      <x:c r="E144" s="3" t="n">
        <x:f>C144*Tinh_toan_x2!E12/(2*Tinh_toan_x2!E15*Tinh_toan_x2!E13)+(Tinh_toan_x2!C48+Tinh_toan_x2!E52+Tinh_toan_x2!E53/Tinh_toan_x2!E13^2)*2*Tinh_toan_x2!E13/Tinh_toan_x2!E12*F144</x:f>
        <x:v>-0.010281414473684247</x:v>
      </x:c>
      <x:c r="F144" s="3" t="n">
        <x:f>Chu_ky!D17*(Chu_ky!F17+Chu_ky!E17*(Chu_ky!B17*7/10))</x:f>
        <x:v>0.017684210526315792</x:v>
      </x:c>
      <x:c r="G144" s="3" t="n">
        <x:f>Chu_ky!D17*Chu_ky!E17</x:f>
        <x:v>0.10105263157894738</x:v>
      </x:c>
      <x:c r="H144" s="3" t="str">
        <x:f>Chu_ky!A17</x:f>
        <x:v>Không tải giảm j-</x:v>
      </x:c>
    </x:row>
    <x:row r="145" ht="32" customHeight="1">
      <x:c r="A145" s="3" t="n">
        <x:f>Chu_ky!H17+(Chu_ky!B17*8/10)</x:f>
        <x:v>206.7</x:v>
      </x:c>
      <x:c r="B145" s="3" t="n">
        <x:f>Chu_ky!D17*(Chu_ky!G17+Chu_ky!F17*(Chu_ky!B17*8/10)+0.5*Chu_ky!E17*(Chu_ky!B17*8/10)^2)</x:f>
        <x:v>-0.11797894736842106</x:v>
      </x:c>
      <x:c r="C145" s="3" t="n">
        <x:f>Chu_ky!C17*(Chu_ky!D17*Tinh_toan_x2!E14*Tinh_toan_x2!E17+F145)</x:f>
        <x:v>-431.0772631578948</x:v>
      </x:c>
      <x:c r="D145" s="3" t="n">
        <x:f>E145*B145*2*Tinh_toan_x2!E13/Tinh_toan_x2!E12</x:f>
        <x:v>-6.537912033240997</x:v>
      </x:c>
      <x:c r="E145" s="3" t="n">
        <x:f>C145*Tinh_toan_x2!E12/(2*Tinh_toan_x2!E15*Tinh_toan_x2!E13)+(Tinh_toan_x2!C48+Tinh_toan_x2!E52+Tinh_toan_x2!E53/Tinh_toan_x2!E13^2)*2*Tinh_toan_x2!E13/Tinh_toan_x2!E12*F145</x:f>
        <x:v>0.06926990131578947</x:v>
      </x:c>
      <x:c r="F145" s="3" t="n">
        <x:f>Chu_ky!D17*(Chu_ky!F17+Chu_ky!E17*(Chu_ky!B17*8/10))</x:f>
        <x:v>0.020210526315789477</x:v>
      </x:c>
      <x:c r="G145" s="3" t="n">
        <x:f>Chu_ky!D17*Chu_ky!E17</x:f>
        <x:v>0.10105263157894738</x:v>
      </x:c>
      <x:c r="H145" s="3" t="str">
        <x:f>Chu_ky!A17</x:f>
        <x:v>Không tải giảm j-</x:v>
      </x:c>
    </x:row>
    <x:row r="146" ht="32" customHeight="1">
      <x:c r="A146" s="3" t="n">
        <x:f>Chu_ky!H17+(Chu_ky!B17*9/10)</x:f>
        <x:v>206.725</x:v>
      </x:c>
      <x:c r="B146" s="3" t="n">
        <x:f>Chu_ky!D17*(Chu_ky!G17+Chu_ky!F17*(Chu_ky!B17*9/10)+0.5*Chu_ky!E17*(Chu_ky!B17*9/10)^2)</x:f>
        <x:v>-0.1174421052631579</x:v>
      </x:c>
      <x:c r="C146" s="3" t="n">
        <x:f>Chu_ky!C17*(Chu_ky!D17*Tinh_toan_x2!E14*Tinh_toan_x2!E17+F146)</x:f>
        <x:v>-430.51642105263164</x:v>
      </x:c>
      <x:c r="D146" s="3" t="n">
        <x:f>E146*B146*2*Tinh_toan_x2!E13/Tinh_toan_x2!E12</x:f>
        <x:v>-13.982301635734066</x:v>
      </x:c>
      <x:c r="E146" s="3" t="n">
        <x:f>C146*Tinh_toan_x2!E12/(2*Tinh_toan_x2!E15*Tinh_toan_x2!E13)+(Tinh_toan_x2!C48+Tinh_toan_x2!E52+Tinh_toan_x2!E53/Tinh_toan_x2!E13^2)*2*Tinh_toan_x2!E13/Tinh_toan_x2!E12*F146</x:f>
        <x:v>0.14882121710526308</x:v>
      </x:c>
      <x:c r="F146" s="3" t="n">
        <x:f>Chu_ky!D17*(Chu_ky!F17+Chu_ky!E17*(Chu_ky!B17*9/10))</x:f>
        <x:v>0.02273684210526316</x:v>
      </x:c>
      <x:c r="G146" s="3" t="n">
        <x:f>Chu_ky!D17*Chu_ky!E17</x:f>
        <x:v>0.10105263157894738</x:v>
      </x:c>
      <x:c r="H146" s="3" t="str">
        <x:f>Chu_ky!A17</x:f>
        <x:v>Không tải giảm j-</x:v>
      </x:c>
    </x:row>
    <x:row r="147" ht="32" customHeight="1">
      <x:c r="A147" s="3" t="n">
        <x:f>Chu_ky!H17+(Chu_ky!B17*10/10)</x:f>
        <x:v>206.75</x:v>
      </x:c>
      <x:c r="B147" s="3" t="n">
        <x:f>Chu_ky!D17*(Chu_ky!G17+Chu_ky!F17*(Chu_ky!B17*10/10)+0.5*Chu_ky!E17*(Chu_ky!B17*10/10)^2)</x:f>
        <x:v>-0.1168421052631579</x:v>
      </x:c>
      <x:c r="C147" s="3" t="n">
        <x:f>Chu_ky!C17*(Chu_ky!D17*Tinh_toan_x2!E14*Tinh_toan_x2!E17+F147)</x:f>
        <x:v>-429.95557894736845</x:v>
      </x:c>
      <x:c r="D147" s="3" t="n">
        <x:f>E147*B147*2*Tinh_toan_x2!E13/Tinh_toan_x2!E12</x:f>
        <x:v>-21.346822022160673</x:v>
      </x:c>
      <x:c r="E147" s="3" t="n">
        <x:f>C147*Tinh_toan_x2!E12/(2*Tinh_toan_x2!E15*Tinh_toan_x2!E13)+(Tinh_toan_x2!C48+Tinh_toan_x2!E52+Tinh_toan_x2!E53/Tinh_toan_x2!E13^2)*2*Tinh_toan_x2!E13/Tinh_toan_x2!E12*F147</x:f>
        <x:v>0.2283725328947369</x:v>
      </x:c>
      <x:c r="F147" s="3" t="n">
        <x:f>Chu_ky!D17*(Chu_ky!F17+Chu_ky!E17*(Chu_ky!B17*10/10))</x:f>
        <x:v>0.025263157894736845</x:v>
      </x:c>
      <x:c r="G147" s="3" t="n">
        <x:f>Chu_ky!D17*Chu_ky!E17</x:f>
        <x:v>0.10105263157894738</x:v>
      </x:c>
      <x:c r="H147" s="3" t="str">
        <x:f>Chu_ky!A17</x:f>
        <x:v>Không tải giảm j-</x:v>
      </x:c>
    </x:row>
    <x:row r="148" ht="32" customHeight="1">
      <x:c r="A148" s="3" t="n">
        <x:f>Chu_ky!H18+(Chu_ky!B18*0/10)</x:f>
        <x:v>206.75</x:v>
      </x:c>
      <x:c r="B148" s="3" t="n">
        <x:f>Chu_ky!D18*(Chu_ky!G18+Chu_ky!F18*(Chu_ky!B18*0/10)+0.5*Chu_ky!E18*(Chu_ky!B18*0/10)^2)</x:f>
        <x:v>-0.1168421052631579</x:v>
      </x:c>
      <x:c r="C148" s="3" t="n">
        <x:f>Chu_ky!C18*(Chu_ky!D18*Tinh_toan_x2!E14*Tinh_toan_x2!E17+F148)</x:f>
        <x:v>-429.95557894736845</x:v>
      </x:c>
      <x:c r="D148" s="3" t="n">
        <x:f>E148*B148*2*Tinh_toan_x2!E13/Tinh_toan_x2!E12</x:f>
        <x:v>-21.346822022160673</x:v>
      </x:c>
      <x:c r="E148" s="3" t="n">
        <x:f>C148*Tinh_toan_x2!E12/(2*Tinh_toan_x2!E15*Tinh_toan_x2!E13)+(Tinh_toan_x2!C48+Tinh_toan_x2!E52+Tinh_toan_x2!E53/Tinh_toan_x2!E13^2)*2*Tinh_toan_x2!E13/Tinh_toan_x2!E12*F148</x:f>
        <x:v>0.2283725328947369</x:v>
      </x:c>
      <x:c r="F148" s="3" t="n">
        <x:f>Chu_ky!D18*(Chu_ky!F18+Chu_ky!E18*(Chu_ky!B18*0/10))</x:f>
        <x:v>0.025263157894736845</x:v>
      </x:c>
      <x:c r="G148" s="3" t="n">
        <x:f>Chu_ky!D18*Chu_ky!E18</x:f>
        <x:v>0</x:v>
      </x:c>
      <x:c r="H148" s="3" t="str">
        <x:f>Chu_ky!A18</x:f>
        <x:v>Không tải giảm a</x:v>
      </x:c>
    </x:row>
    <x:row r="149" ht="32" customHeight="1">
      <x:c r="A149" s="3" t="n">
        <x:f>Chu_ky!H18+(Chu_ky!B18*1/10)</x:f>
        <x:v>207.2</x:v>
      </x:c>
      <x:c r="B149" s="3" t="n">
        <x:f>Chu_ky!D18*(Chu_ky!G18+Chu_ky!F18*(Chu_ky!B18*1/10)+0.5*Chu_ky!E18*(Chu_ky!B18*1/10)^2)</x:f>
        <x:v>-0.10547368421052632</x:v>
      </x:c>
      <x:c r="C149" s="3" t="n">
        <x:f>Chu_ky!C18*(Chu_ky!D18*Tinh_toan_x2!E14*Tinh_toan_x2!E17+F149)</x:f>
        <x:v>-429.95557894736845</x:v>
      </x:c>
      <x:c r="D149" s="3" t="n">
        <x:f>E149*B149*2*Tinh_toan_x2!E13/Tinh_toan_x2!E12</x:f>
        <x:v>-19.26983393351801</x:v>
      </x:c>
      <x:c r="E149" s="3" t="n">
        <x:f>C149*Tinh_toan_x2!E12/(2*Tinh_toan_x2!E15*Tinh_toan_x2!E13)+(Tinh_toan_x2!C48+Tinh_toan_x2!E52+Tinh_toan_x2!E53/Tinh_toan_x2!E13^2)*2*Tinh_toan_x2!E13/Tinh_toan_x2!E12*F149</x:f>
        <x:v>0.2283725328947369</x:v>
      </x:c>
      <x:c r="F149" s="3" t="n">
        <x:f>Chu_ky!D18*(Chu_ky!F18+Chu_ky!E18*(Chu_ky!B18*1/10))</x:f>
        <x:v>0.025263157894736845</x:v>
      </x:c>
      <x:c r="G149" s="3" t="n">
        <x:f>Chu_ky!D18*Chu_ky!E18</x:f>
        <x:v>0</x:v>
      </x:c>
      <x:c r="H149" s="3" t="str">
        <x:f>Chu_ky!A18</x:f>
        <x:v>Không tải giảm a</x:v>
      </x:c>
    </x:row>
    <x:row r="150" ht="32" customHeight="1">
      <x:c r="A150" s="3" t="n">
        <x:f>Chu_ky!H18+(Chu_ky!B18*2/10)</x:f>
        <x:v>207.65</x:v>
      </x:c>
      <x:c r="B150" s="3" t="n">
        <x:f>Chu_ky!D18*(Chu_ky!G18+Chu_ky!F18*(Chu_ky!B18*2/10)+0.5*Chu_ky!E18*(Chu_ky!B18*2/10)^2)</x:f>
        <x:v>-0.09410526315789475</x:v>
      </x:c>
      <x:c r="C150" s="3" t="n">
        <x:f>Chu_ky!C18*(Chu_ky!D18*Tinh_toan_x2!E14*Tinh_toan_x2!E17+F150)</x:f>
        <x:v>-429.95557894736845</x:v>
      </x:c>
      <x:c r="D150" s="3" t="n">
        <x:f>E150*B150*2*Tinh_toan_x2!E13/Tinh_toan_x2!E12</x:f>
        <x:v>-17.192845844875354</x:v>
      </x:c>
      <x:c r="E150" s="3" t="n">
        <x:f>C150*Tinh_toan_x2!E12/(2*Tinh_toan_x2!E15*Tinh_toan_x2!E13)+(Tinh_toan_x2!C48+Tinh_toan_x2!E52+Tinh_toan_x2!E53/Tinh_toan_x2!E13^2)*2*Tinh_toan_x2!E13/Tinh_toan_x2!E12*F150</x:f>
        <x:v>0.2283725328947369</x:v>
      </x:c>
      <x:c r="F150" s="3" t="n">
        <x:f>Chu_ky!D18*(Chu_ky!F18+Chu_ky!E18*(Chu_ky!B18*2/10))</x:f>
        <x:v>0.025263157894736845</x:v>
      </x:c>
      <x:c r="G150" s="3" t="n">
        <x:f>Chu_ky!D18*Chu_ky!E18</x:f>
        <x:v>0</x:v>
      </x:c>
      <x:c r="H150" s="3" t="str">
        <x:f>Chu_ky!A18</x:f>
        <x:v>Không tải giảm a</x:v>
      </x:c>
    </x:row>
    <x:row r="151" ht="32" customHeight="1">
      <x:c r="A151" s="3" t="n">
        <x:f>Chu_ky!H18+(Chu_ky!B18*3/10)</x:f>
        <x:v>208.1</x:v>
      </x:c>
      <x:c r="B151" s="3" t="n">
        <x:f>Chu_ky!D18*(Chu_ky!G18+Chu_ky!F18*(Chu_ky!B18*3/10)+0.5*Chu_ky!E18*(Chu_ky!B18*3/10)^2)</x:f>
        <x:v>-0.08273684210526316</x:v>
      </x:c>
      <x:c r="C151" s="3" t="n">
        <x:f>Chu_ky!C18*(Chu_ky!D18*Tinh_toan_x2!E14*Tinh_toan_x2!E17+F151)</x:f>
        <x:v>-429.95557894736845</x:v>
      </x:c>
      <x:c r="D151" s="3" t="n">
        <x:f>E151*B151*2*Tinh_toan_x2!E13/Tinh_toan_x2!E12</x:f>
        <x:v>-15.115857756232693</x:v>
      </x:c>
      <x:c r="E151" s="3" t="n">
        <x:f>C151*Tinh_toan_x2!E12/(2*Tinh_toan_x2!E15*Tinh_toan_x2!E13)+(Tinh_toan_x2!C48+Tinh_toan_x2!E52+Tinh_toan_x2!E53/Tinh_toan_x2!E13^2)*2*Tinh_toan_x2!E13/Tinh_toan_x2!E12*F151</x:f>
        <x:v>0.2283725328947369</x:v>
      </x:c>
      <x:c r="F151" s="3" t="n">
        <x:f>Chu_ky!D18*(Chu_ky!F18+Chu_ky!E18*(Chu_ky!B18*3/10))</x:f>
        <x:v>0.025263157894736845</x:v>
      </x:c>
      <x:c r="G151" s="3" t="n">
        <x:f>Chu_ky!D18*Chu_ky!E18</x:f>
        <x:v>0</x:v>
      </x:c>
      <x:c r="H151" s="3" t="str">
        <x:f>Chu_ky!A18</x:f>
        <x:v>Không tải giảm a</x:v>
      </x:c>
    </x:row>
    <x:row r="152" ht="32" customHeight="1">
      <x:c r="A152" s="3" t="n">
        <x:f>Chu_ky!H18+(Chu_ky!B18*4/10)</x:f>
        <x:v>208.55</x:v>
      </x:c>
      <x:c r="B152" s="3" t="n">
        <x:f>Chu_ky!D18*(Chu_ky!G18+Chu_ky!F18*(Chu_ky!B18*4/10)+0.5*Chu_ky!E18*(Chu_ky!B18*4/10)^2)</x:f>
        <x:v>-0.07136842105263158</x:v>
      </x:c>
      <x:c r="C152" s="3" t="n">
        <x:f>Chu_ky!C18*(Chu_ky!D18*Tinh_toan_x2!E14*Tinh_toan_x2!E17+F152)</x:f>
        <x:v>-429.95557894736845</x:v>
      </x:c>
      <x:c r="D152" s="3" t="n">
        <x:f>E152*B152*2*Tinh_toan_x2!E13/Tinh_toan_x2!E12</x:f>
        <x:v>-13.038869667590033</x:v>
      </x:c>
      <x:c r="E152" s="3" t="n">
        <x:f>C152*Tinh_toan_x2!E12/(2*Tinh_toan_x2!E15*Tinh_toan_x2!E13)+(Tinh_toan_x2!C48+Tinh_toan_x2!E52+Tinh_toan_x2!E53/Tinh_toan_x2!E13^2)*2*Tinh_toan_x2!E13/Tinh_toan_x2!E12*F152</x:f>
        <x:v>0.2283725328947369</x:v>
      </x:c>
      <x:c r="F152" s="3" t="n">
        <x:f>Chu_ky!D18*(Chu_ky!F18+Chu_ky!E18*(Chu_ky!B18*4/10))</x:f>
        <x:v>0.025263157894736845</x:v>
      </x:c>
      <x:c r="G152" s="3" t="n">
        <x:f>Chu_ky!D18*Chu_ky!E18</x:f>
        <x:v>0</x:v>
      </x:c>
      <x:c r="H152" s="3" t="str">
        <x:f>Chu_ky!A18</x:f>
        <x:v>Không tải giảm a</x:v>
      </x:c>
    </x:row>
    <x:row r="153" ht="32" customHeight="1">
      <x:c r="A153" s="3" t="n">
        <x:f>Chu_ky!H18+(Chu_ky!B18*5/10)</x:f>
        <x:v>209</x:v>
      </x:c>
      <x:c r="B153" s="3" t="n">
        <x:f>Chu_ky!D18*(Chu_ky!G18+Chu_ky!F18*(Chu_ky!B18*5/10)+0.5*Chu_ky!E18*(Chu_ky!B18*5/10)^2)</x:f>
        <x:v>-0.06</x:v>
      </x:c>
      <x:c r="C153" s="3" t="n">
        <x:f>Chu_ky!C18*(Chu_ky!D18*Tinh_toan_x2!E14*Tinh_toan_x2!E17+F153)</x:f>
        <x:v>-429.95557894736845</x:v>
      </x:c>
      <x:c r="D153" s="3" t="n">
        <x:f>E153*B153*2*Tinh_toan_x2!E13/Tinh_toan_x2!E12</x:f>
        <x:v>-10.961881578947372</x:v>
      </x:c>
      <x:c r="E153" s="3" t="n">
        <x:f>C153*Tinh_toan_x2!E12/(2*Tinh_toan_x2!E15*Tinh_toan_x2!E13)+(Tinh_toan_x2!C48+Tinh_toan_x2!E52+Tinh_toan_x2!E53/Tinh_toan_x2!E13^2)*2*Tinh_toan_x2!E13/Tinh_toan_x2!E12*F153</x:f>
        <x:v>0.2283725328947369</x:v>
      </x:c>
      <x:c r="F153" s="3" t="n">
        <x:f>Chu_ky!D18*(Chu_ky!F18+Chu_ky!E18*(Chu_ky!B18*5/10))</x:f>
        <x:v>0.025263157894736845</x:v>
      </x:c>
      <x:c r="G153" s="3" t="n">
        <x:f>Chu_ky!D18*Chu_ky!E18</x:f>
        <x:v>0</x:v>
      </x:c>
      <x:c r="H153" s="3" t="str">
        <x:f>Chu_ky!A18</x:f>
        <x:v>Không tải giảm a</x:v>
      </x:c>
    </x:row>
    <x:row r="154" ht="32" customHeight="1">
      <x:c r="A154" s="3" t="n">
        <x:f>Chu_ky!H18+(Chu_ky!B18*6/10)</x:f>
        <x:v>209.45</x:v>
      </x:c>
      <x:c r="B154" s="3" t="n">
        <x:f>Chu_ky!D18*(Chu_ky!G18+Chu_ky!F18*(Chu_ky!B18*6/10)+0.5*Chu_ky!E18*(Chu_ky!B18*6/10)^2)</x:f>
        <x:v>-0.048631578947368415</x:v>
      </x:c>
      <x:c r="C154" s="3" t="n">
        <x:f>Chu_ky!C18*(Chu_ky!D18*Tinh_toan_x2!E14*Tinh_toan_x2!E17+F154)</x:f>
        <x:v>-429.95557894736845</x:v>
      </x:c>
      <x:c r="D154" s="3" t="n">
        <x:f>E154*B154*2*Tinh_toan_x2!E13/Tinh_toan_x2!E12</x:f>
        <x:v>-8.88489349030471</x:v>
      </x:c>
      <x:c r="E154" s="3" t="n">
        <x:f>C154*Tinh_toan_x2!E12/(2*Tinh_toan_x2!E15*Tinh_toan_x2!E13)+(Tinh_toan_x2!C48+Tinh_toan_x2!E52+Tinh_toan_x2!E53/Tinh_toan_x2!E13^2)*2*Tinh_toan_x2!E13/Tinh_toan_x2!E12*F154</x:f>
        <x:v>0.2283725328947369</x:v>
      </x:c>
      <x:c r="F154" s="3" t="n">
        <x:f>Chu_ky!D18*(Chu_ky!F18+Chu_ky!E18*(Chu_ky!B18*6/10))</x:f>
        <x:v>0.025263157894736845</x:v>
      </x:c>
      <x:c r="G154" s="3" t="n">
        <x:f>Chu_ky!D18*Chu_ky!E18</x:f>
        <x:v>0</x:v>
      </x:c>
      <x:c r="H154" s="3" t="str">
        <x:f>Chu_ky!A18</x:f>
        <x:v>Không tải giảm a</x:v>
      </x:c>
    </x:row>
    <x:row r="155" ht="32" customHeight="1">
      <x:c r="A155" s="3" t="n">
        <x:f>Chu_ky!H18+(Chu_ky!B18*7/10)</x:f>
        <x:v>209.9</x:v>
      </x:c>
      <x:c r="B155" s="3" t="n">
        <x:f>Chu_ky!D18*(Chu_ky!G18+Chu_ky!F18*(Chu_ky!B18*7/10)+0.5*Chu_ky!E18*(Chu_ky!B18*7/10)^2)</x:f>
        <x:v>-0.037263157894736845</x:v>
      </x:c>
      <x:c r="C155" s="3" t="n">
        <x:f>Chu_ky!C18*(Chu_ky!D18*Tinh_toan_x2!E14*Tinh_toan_x2!E17+F155)</x:f>
        <x:v>-429.95557894736845</x:v>
      </x:c>
      <x:c r="D155" s="3" t="n">
        <x:f>E155*B155*2*Tinh_toan_x2!E13/Tinh_toan_x2!E12</x:f>
        <x:v>-6.807905401662053</x:v>
      </x:c>
      <x:c r="E155" s="3" t="n">
        <x:f>C155*Tinh_toan_x2!E12/(2*Tinh_toan_x2!E15*Tinh_toan_x2!E13)+(Tinh_toan_x2!C48+Tinh_toan_x2!E52+Tinh_toan_x2!E53/Tinh_toan_x2!E13^2)*2*Tinh_toan_x2!E13/Tinh_toan_x2!E12*F155</x:f>
        <x:v>0.2283725328947369</x:v>
      </x:c>
      <x:c r="F155" s="3" t="n">
        <x:f>Chu_ky!D18*(Chu_ky!F18+Chu_ky!E18*(Chu_ky!B18*7/10))</x:f>
        <x:v>0.025263157894736845</x:v>
      </x:c>
      <x:c r="G155" s="3" t="n">
        <x:f>Chu_ky!D18*Chu_ky!E18</x:f>
        <x:v>0</x:v>
      </x:c>
      <x:c r="H155" s="3" t="str">
        <x:f>Chu_ky!A18</x:f>
        <x:v>Không tải giảm a</x:v>
      </x:c>
    </x:row>
    <x:row r="156" ht="32" customHeight="1">
      <x:c r="A156" s="3" t="n">
        <x:f>Chu_ky!H18+(Chu_ky!B18*8/10)</x:f>
        <x:v>210.35</x:v>
      </x:c>
      <x:c r="B156" s="3" t="n">
        <x:f>Chu_ky!D18*(Chu_ky!G18+Chu_ky!F18*(Chu_ky!B18*8/10)+0.5*Chu_ky!E18*(Chu_ky!B18*8/10)^2)</x:f>
        <x:v>-0.025894736842105262</x:v>
      </x:c>
      <x:c r="C156" s="3" t="n">
        <x:f>Chu_ky!C18*(Chu_ky!D18*Tinh_toan_x2!E14*Tinh_toan_x2!E17+F156)</x:f>
        <x:v>-429.95557894736845</x:v>
      </x:c>
      <x:c r="D156" s="3" t="n">
        <x:f>E156*B156*2*Tinh_toan_x2!E13/Tinh_toan_x2!E12</x:f>
        <x:v>-4.7309173130193924</x:v>
      </x:c>
      <x:c r="E156" s="3" t="n">
        <x:f>C156*Tinh_toan_x2!E12/(2*Tinh_toan_x2!E15*Tinh_toan_x2!E13)+(Tinh_toan_x2!C48+Tinh_toan_x2!E52+Tinh_toan_x2!E53/Tinh_toan_x2!E13^2)*2*Tinh_toan_x2!E13/Tinh_toan_x2!E12*F156</x:f>
        <x:v>0.2283725328947369</x:v>
      </x:c>
      <x:c r="F156" s="3" t="n">
        <x:f>Chu_ky!D18*(Chu_ky!F18+Chu_ky!E18*(Chu_ky!B18*8/10))</x:f>
        <x:v>0.025263157894736845</x:v>
      </x:c>
      <x:c r="G156" s="3" t="n">
        <x:f>Chu_ky!D18*Chu_ky!E18</x:f>
        <x:v>0</x:v>
      </x:c>
      <x:c r="H156" s="3" t="str">
        <x:f>Chu_ky!A18</x:f>
        <x:v>Không tải giảm a</x:v>
      </x:c>
    </x:row>
    <x:row r="157" ht="32" customHeight="1">
      <x:c r="A157" s="3" t="n">
        <x:f>Chu_ky!H18+(Chu_ky!B18*9/10)</x:f>
        <x:v>210.8</x:v>
      </x:c>
      <x:c r="B157" s="3" t="n">
        <x:f>Chu_ky!D18*(Chu_ky!G18+Chu_ky!F18*(Chu_ky!B18*9/10)+0.5*Chu_ky!E18*(Chu_ky!B18*9/10)^2)</x:f>
        <x:v>-0.014526315789473679</x:v>
      </x:c>
      <x:c r="C157" s="3" t="n">
        <x:f>Chu_ky!C18*(Chu_ky!D18*Tinh_toan_x2!E14*Tinh_toan_x2!E17+F157)</x:f>
        <x:v>-429.95557894736845</x:v>
      </x:c>
      <x:c r="D157" s="3" t="n">
        <x:f>E157*B157*2*Tinh_toan_x2!E13/Tinh_toan_x2!E12</x:f>
        <x:v>-2.653929224376731</x:v>
      </x:c>
      <x:c r="E157" s="3" t="n">
        <x:f>C157*Tinh_toan_x2!E12/(2*Tinh_toan_x2!E15*Tinh_toan_x2!E13)+(Tinh_toan_x2!C48+Tinh_toan_x2!E52+Tinh_toan_x2!E53/Tinh_toan_x2!E13^2)*2*Tinh_toan_x2!E13/Tinh_toan_x2!E12*F157</x:f>
        <x:v>0.2283725328947369</x:v>
      </x:c>
      <x:c r="F157" s="3" t="n">
        <x:f>Chu_ky!D18*(Chu_ky!F18+Chu_ky!E18*(Chu_ky!B18*9/10))</x:f>
        <x:v>0.025263157894736845</x:v>
      </x:c>
      <x:c r="G157" s="3" t="n">
        <x:f>Chu_ky!D18*Chu_ky!E18</x:f>
        <x:v>0</x:v>
      </x:c>
      <x:c r="H157" s="3" t="str">
        <x:f>Chu_ky!A18</x:f>
        <x:v>Không tải giảm a</x:v>
      </x:c>
    </x:row>
    <x:row r="158" ht="32" customHeight="1">
      <x:c r="A158" s="3" t="n">
        <x:f>Chu_ky!H18+(Chu_ky!B18*10/10)</x:f>
        <x:v>211.25</x:v>
      </x:c>
      <x:c r="B158" s="3" t="n">
        <x:f>Chu_ky!D18*(Chu_ky!G18+Chu_ky!F18*(Chu_ky!B18*10/10)+0.5*Chu_ky!E18*(Chu_ky!B18*10/10)^2)</x:f>
        <x:v>-0.0031578947368420957</x:v>
      </x:c>
      <x:c r="C158" s="3" t="n">
        <x:f>Chu_ky!C18*(Chu_ky!D18*Tinh_toan_x2!E14*Tinh_toan_x2!E17+F158)</x:f>
        <x:v>-429.95557894736845</x:v>
      </x:c>
      <x:c r="D158" s="3" t="n">
        <x:f>E158*B158*2*Tinh_toan_x2!E13/Tinh_toan_x2!E12</x:f>
        <x:v>-0.5769411357340705</x:v>
      </x:c>
      <x:c r="E158" s="3" t="n">
        <x:f>C158*Tinh_toan_x2!E12/(2*Tinh_toan_x2!E15*Tinh_toan_x2!E13)+(Tinh_toan_x2!C48+Tinh_toan_x2!E52+Tinh_toan_x2!E53/Tinh_toan_x2!E13^2)*2*Tinh_toan_x2!E13/Tinh_toan_x2!E12*F158</x:f>
        <x:v>0.2283725328947369</x:v>
      </x:c>
      <x:c r="F158" s="3" t="n">
        <x:f>Chu_ky!D18*(Chu_ky!F18+Chu_ky!E18*(Chu_ky!B18*10/10))</x:f>
        <x:v>0.025263157894736845</x:v>
      </x:c>
      <x:c r="G158" s="3" t="n">
        <x:f>Chu_ky!D18*Chu_ky!E18</x:f>
        <x:v>0</x:v>
      </x:c>
      <x:c r="H158" s="3" t="str">
        <x:f>Chu_ky!A18</x:f>
        <x:v>Không tải giảm a</x:v>
      </x:c>
    </x:row>
    <x:row r="159" ht="32" customHeight="1">
      <x:c r="A159" s="3" t="n">
        <x:f>Chu_ky!H19+(Chu_ky!B19*0/10)</x:f>
        <x:v>211.25</x:v>
      </x:c>
      <x:c r="B159" s="3" t="n">
        <x:f>Chu_ky!D19*(Chu_ky!G19+Chu_ky!F19*(Chu_ky!B19*0/10)+0.5*Chu_ky!E19*(Chu_ky!B19*0/10)^2)</x:f>
        <x:v>-0.0031578947368420957</x:v>
      </x:c>
      <x:c r="C159" s="3" t="n">
        <x:f>Chu_ky!C19*(Chu_ky!D19*Tinh_toan_x2!E14*Tinh_toan_x2!E17+F159)</x:f>
        <x:v>-429.95557894736845</x:v>
      </x:c>
      <x:c r="D159" s="3" t="n">
        <x:f>E159*B159*2*Tinh_toan_x2!E13/Tinh_toan_x2!E12</x:f>
        <x:v>-0.5769411357340705</x:v>
      </x:c>
      <x:c r="E159" s="3" t="n">
        <x:f>C159*Tinh_toan_x2!E12/(2*Tinh_toan_x2!E15*Tinh_toan_x2!E13)+(Tinh_toan_x2!C48+Tinh_toan_x2!E52+Tinh_toan_x2!E53/Tinh_toan_x2!E13^2)*2*Tinh_toan_x2!E13/Tinh_toan_x2!E12*F159</x:f>
        <x:v>0.2283725328947369</x:v>
      </x:c>
      <x:c r="F159" s="3" t="n">
        <x:f>Chu_ky!D19*(Chu_ky!F19+Chu_ky!E19*(Chu_ky!B19*0/10))</x:f>
        <x:v>0.025263157894736845</x:v>
      </x:c>
      <x:c r="G159" s="3" t="n">
        <x:f>Chu_ky!D19*Chu_ky!E19</x:f>
        <x:v>-0.10105263157894738</x:v>
      </x:c>
      <x:c r="H159" s="3" t="str">
        <x:f>Chu_ky!A19</x:f>
        <x:v>Không tải giảm j+</x:v>
      </x:c>
    </x:row>
    <x:row r="160" ht="32" customHeight="1">
      <x:c r="A160" s="3" t="n">
        <x:f>Chu_ky!H19+(Chu_ky!B19*1/10)</x:f>
        <x:v>211.275</x:v>
      </x:c>
      <x:c r="B160" s="3" t="n">
        <x:f>Chu_ky!D19*(Chu_ky!G19+Chu_ky!F19*(Chu_ky!B19*1/10)+0.5*Chu_ky!E19*(Chu_ky!B19*1/10)^2)</x:f>
        <x:v>-0.0025578947368420954</x:v>
      </x:c>
      <x:c r="C160" s="3" t="n">
        <x:f>Chu_ky!C19*(Chu_ky!D19*Tinh_toan_x2!E14*Tinh_toan_x2!E17+F160)</x:f>
        <x:v>-430.51642105263164</x:v>
      </x:c>
      <x:c r="D160" s="3" t="n">
        <x:f>E160*B160*2*Tinh_toan_x2!E13/Tinh_toan_x2!E12</x:f>
        <x:v>-0.3045352063711898</x:v>
      </x:c>
      <x:c r="E160" s="3" t="n">
        <x:f>C160*Tinh_toan_x2!E12/(2*Tinh_toan_x2!E15*Tinh_toan_x2!E13)+(Tinh_toan_x2!C48+Tinh_toan_x2!E52+Tinh_toan_x2!E53/Tinh_toan_x2!E13^2)*2*Tinh_toan_x2!E13/Tinh_toan_x2!E12*F160</x:f>
        <x:v>0.14882121710526308</x:v>
      </x:c>
      <x:c r="F160" s="3" t="n">
        <x:f>Chu_ky!D19*(Chu_ky!F19+Chu_ky!E19*(Chu_ky!B19*1/10))</x:f>
        <x:v>0.02273684210526316</x:v>
      </x:c>
      <x:c r="G160" s="3" t="n">
        <x:f>Chu_ky!D19*Chu_ky!E19</x:f>
        <x:v>-0.10105263157894738</x:v>
      </x:c>
      <x:c r="H160" s="3" t="str">
        <x:f>Chu_ky!A19</x:f>
        <x:v>Không tải giảm j+</x:v>
      </x:c>
    </x:row>
    <x:row r="161" ht="32" customHeight="1">
      <x:c r="A161" s="3" t="n">
        <x:f>Chu_ky!H19+(Chu_ky!B19*2/10)</x:f>
        <x:v>211.3</x:v>
      </x:c>
      <x:c r="B161" s="3" t="n">
        <x:f>Chu_ky!D19*(Chu_ky!G19+Chu_ky!F19*(Chu_ky!B19*2/10)+0.5*Chu_ky!E19*(Chu_ky!B19*2/10)^2)</x:f>
        <x:v>-0.0020210526315789378</x:v>
      </x:c>
      <x:c r="C161" s="3" t="n">
        <x:f>Chu_ky!C19*(Chu_ky!D19*Tinh_toan_x2!E14*Tinh_toan_x2!E17+F161)</x:f>
        <x:v>-431.0772631578948</x:v>
      </x:c>
      <x:c r="D161" s="3" t="n">
        <x:f>E161*B161*2*Tinh_toan_x2!E13/Tinh_toan_x2!E12</x:f>
        <x:v>-0.11199849307479172</x:v>
      </x:c>
      <x:c r="E161" s="3" t="n">
        <x:f>C161*Tinh_toan_x2!E12/(2*Tinh_toan_x2!E15*Tinh_toan_x2!E13)+(Tinh_toan_x2!C48+Tinh_toan_x2!E52+Tinh_toan_x2!E53/Tinh_toan_x2!E13^2)*2*Tinh_toan_x2!E13/Tinh_toan_x2!E12*F161</x:f>
        <x:v>0.06926990131578947</x:v>
      </x:c>
      <x:c r="F161" s="3" t="n">
        <x:f>Chu_ky!D19*(Chu_ky!F19+Chu_ky!E19*(Chu_ky!B19*2/10))</x:f>
        <x:v>0.020210526315789477</x:v>
      </x:c>
      <x:c r="G161" s="3" t="n">
        <x:f>Chu_ky!D19*Chu_ky!E19</x:f>
        <x:v>-0.10105263157894738</x:v>
      </x:c>
      <x:c r="H161" s="3" t="str">
        <x:f>Chu_ky!A19</x:f>
        <x:v>Không tải giảm j+</x:v>
      </x:c>
    </x:row>
    <x:row r="162" ht="32" customHeight="1">
      <x:c r="A162" s="3" t="n">
        <x:f>Chu_ky!H19+(Chu_ky!B19*3/10)</x:f>
        <x:v>211.325</x:v>
      </x:c>
      <x:c r="B162" s="3" t="n">
        <x:f>Chu_ky!D19*(Chu_ky!G19+Chu_ky!F19*(Chu_ky!B19*3/10)+0.5*Chu_ky!E19*(Chu_ky!B19*3/10)^2)</x:f>
        <x:v>-0.001547368421052622</x:v>
      </x:c>
      <x:c r="C162" s="3" t="n">
        <x:f>Chu_ky!C19*(Chu_ky!D19*Tinh_toan_x2!E14*Tinh_toan_x2!E17+F162)</x:f>
        <x:v>-431.63810526315797</x:v>
      </x:c>
      <x:c r="D162" s="3" t="n">
        <x:f>E162*B162*2*Tinh_toan_x2!E13/Tinh_toan_x2!E12</x:f>
        <x:v>0.012727308864265895</x:v>
      </x:c>
      <x:c r="E162" s="3" t="n">
        <x:f>C162*Tinh_toan_x2!E12/(2*Tinh_toan_x2!E15*Tinh_toan_x2!E13)+(Tinh_toan_x2!C48+Tinh_toan_x2!E52+Tinh_toan_x2!E53/Tinh_toan_x2!E13^2)*2*Tinh_toan_x2!E13/Tinh_toan_x2!E12*F162</x:f>
        <x:v>-0.010281414473684247</x:v>
      </x:c>
      <x:c r="F162" s="3" t="n">
        <x:f>Chu_ky!D19*(Chu_ky!F19+Chu_ky!E19*(Chu_ky!B19*3/10))</x:f>
        <x:v>0.017684210526315792</x:v>
      </x:c>
      <x:c r="G162" s="3" t="n">
        <x:f>Chu_ky!D19*Chu_ky!E19</x:f>
        <x:v>-0.10105263157894738</x:v>
      </x:c>
      <x:c r="H162" s="3" t="str">
        <x:f>Chu_ky!A19</x:f>
        <x:v>Không tải giảm j+</x:v>
      </x:c>
    </x:row>
    <x:row r="163" ht="32" customHeight="1">
      <x:c r="A163" s="3" t="n">
        <x:f>Chu_ky!H19+(Chu_ky!B19*4/10)</x:f>
        <x:v>211.35</x:v>
      </x:c>
      <x:c r="B163" s="3" t="n">
        <x:f>Chu_ky!D19*(Chu_ky!G19+Chu_ky!F19*(Chu_ky!B19*4/10)+0.5*Chu_ky!E19*(Chu_ky!B19*4/10)^2)</x:f>
        <x:v>-0.001136842105263148</x:v>
      </x:c>
      <x:c r="C163" s="3" t="n">
        <x:f>Chu_ky!C19*(Chu_ky!D19*Tinh_toan_x2!E14*Tinh_toan_x2!E17+F163)</x:f>
        <x:v>-432.1989473684211</x:v>
      </x:c>
      <x:c r="D163" s="3" t="n">
        <x:f>E163*B163*2*Tinh_toan_x2!E13/Tinh_toan_x2!E12</x:f>
        <x:v>0.08170050415512395</x:v>
      </x:c>
      <x:c r="E163" s="3" t="n">
        <x:f>C163*Tinh_toan_x2!E12/(2*Tinh_toan_x2!E15*Tinh_toan_x2!E13)+(Tinh_toan_x2!C48+Tinh_toan_x2!E52+Tinh_toan_x2!E53/Tinh_toan_x2!E13^2)*2*Tinh_toan_x2!E13/Tinh_toan_x2!E12*F163</x:f>
        <x:v>-0.08983273026315791</x:v>
      </x:c>
      <x:c r="F163" s="3" t="n">
        <x:f>Chu_ky!D19*(Chu_ky!F19+Chu_ky!E19*(Chu_ky!B19*4/10))</x:f>
        <x:v>0.015157894736842106</x:v>
      </x:c>
      <x:c r="G163" s="3" t="n">
        <x:f>Chu_ky!D19*Chu_ky!E19</x:f>
        <x:v>-0.10105263157894738</x:v>
      </x:c>
      <x:c r="H163" s="3" t="str">
        <x:f>Chu_ky!A19</x:f>
        <x:v>Không tải giảm j+</x:v>
      </x:c>
    </x:row>
    <x:row r="164" ht="32" customHeight="1">
      <x:c r="A164" s="3" t="n">
        <x:f>Chu_ky!H19+(Chu_ky!B19*5/10)</x:f>
        <x:v>211.375</x:v>
      </x:c>
      <x:c r="B164" s="3" t="n">
        <x:f>Chu_ky!D19*(Chu_ky!G19+Chu_ky!F19*(Chu_ky!B19*5/10)+0.5*Chu_ky!E19*(Chu_ky!B19*5/10)^2)</x:f>
        <x:v>-0.0007894736842105164</x:v>
      </x:c>
      <x:c r="C164" s="3" t="n">
        <x:f>Chu_ky!C19*(Chu_ky!D19*Tinh_toan_x2!E14*Tinh_toan_x2!E17+F164)</x:f>
        <x:v>-432.7597894736843</x:v>
      </x:c>
      <x:c r="D164" s="3" t="n">
        <x:f>E164*B164*2*Tinh_toan_x2!E13/Tinh_toan_x2!E12</x:f>
        <x:v>0.1069793975069239</x:v>
      </x:c>
      <x:c r="E164" s="3" t="n">
        <x:f>C164*Tinh_toan_x2!E12/(2*Tinh_toan_x2!E15*Tinh_toan_x2!E13)+(Tinh_toan_x2!C48+Tinh_toan_x2!E52+Tinh_toan_x2!E53/Tinh_toan_x2!E13^2)*2*Tinh_toan_x2!E13/Tinh_toan_x2!E12*F164</x:f>
        <x:v>-0.16938404605263163</x:v>
      </x:c>
      <x:c r="F164" s="3" t="n">
        <x:f>Chu_ky!D19*(Chu_ky!F19+Chu_ky!E19*(Chu_ky!B19*5/10))</x:f>
        <x:v>0.012631578947368423</x:v>
      </x:c>
      <x:c r="G164" s="3" t="n">
        <x:f>Chu_ky!D19*Chu_ky!E19</x:f>
        <x:v>-0.10105263157894738</x:v>
      </x:c>
      <x:c r="H164" s="3" t="str">
        <x:f>Chu_ky!A19</x:f>
        <x:v>Không tải giảm j+</x:v>
      </x:c>
    </x:row>
    <x:row r="165" ht="32" customHeight="1">
      <x:c r="A165" s="3" t="n">
        <x:f>Chu_ky!H19+(Chu_ky!B19*6/10)</x:f>
        <x:v>211.4</x:v>
      </x:c>
      <x:c r="B165" s="3" t="n">
        <x:f>Chu_ky!D19*(Chu_ky!G19+Chu_ky!F19*(Chu_ky!B19*6/10)+0.5*Chu_ky!E19*(Chu_ky!B19*6/10)^2)</x:f>
        <x:v>-0.000505263157894727</x:v>
      </x:c>
      <x:c r="C165" s="3" t="n">
        <x:f>Chu_ky!C19*(Chu_ky!D19*Tinh_toan_x2!E14*Tinh_toan_x2!E17+F165)</x:f>
        <x:v>-433.32063157894737</x:v>
      </x:c>
      <x:c r="D165" s="3" t="n">
        <x:f>E165*B165*2*Tinh_toan_x2!E13/Tinh_toan_x2!E12</x:f>
        <x:v>0.10062229362880687</x:v>
      </x:c>
      <x:c r="E165" s="3" t="n">
        <x:f>C165*Tinh_toan_x2!E12/(2*Tinh_toan_x2!E15*Tinh_toan_x2!E13)+(Tinh_toan_x2!C48+Tinh_toan_x2!E52+Tinh_toan_x2!E53/Tinh_toan_x2!E13^2)*2*Tinh_toan_x2!E13/Tinh_toan_x2!E12*F165</x:f>
        <x:v>-0.24893536184210519</x:v>
      </x:c>
      <x:c r="F165" s="3" t="n">
        <x:f>Chu_ky!D19*(Chu_ky!F19+Chu_ky!E19*(Chu_ky!B19*6/10))</x:f>
        <x:v>0.010105263157894739</x:v>
      </x:c>
      <x:c r="G165" s="3" t="n">
        <x:f>Chu_ky!D19*Chu_ky!E19</x:f>
        <x:v>-0.10105263157894738</x:v>
      </x:c>
      <x:c r="H165" s="3" t="str">
        <x:f>Chu_ky!A19</x:f>
        <x:v>Không tải giảm j+</x:v>
      </x:c>
    </x:row>
    <x:row r="166" ht="32" customHeight="1">
      <x:c r="A166" s="3" t="n">
        <x:f>Chu_ky!H19+(Chu_ky!B19*7/10)</x:f>
        <x:v>211.425</x:v>
      </x:c>
      <x:c r="B166" s="3" t="n">
        <x:f>Chu_ky!D19*(Chu_ky!G19+Chu_ky!F19*(Chu_ky!B19*7/10)+0.5*Chu_ky!E19*(Chu_ky!B19*7/10)^2)</x:f>
        <x:v>-0.00028421052631577917</x:v>
      </x:c>
      <x:c r="C166" s="3" t="n">
        <x:f>Chu_ky!C19*(Chu_ky!D19*Tinh_toan_x2!E14*Tinh_toan_x2!E17+F166)</x:f>
        <x:v>-433.88147368421056</x:v>
      </x:c>
      <x:c r="D166" s="3" t="n">
        <x:f>E166*B166*2*Tinh_toan_x2!E13/Tinh_toan_x2!E12</x:f>
        <x:v>0.0746874972299142</x:v>
      </x:c>
      <x:c r="E166" s="3" t="n">
        <x:f>C166*Tinh_toan_x2!E12/(2*Tinh_toan_x2!E15*Tinh_toan_x2!E13)+(Tinh_toan_x2!C48+Tinh_toan_x2!E52+Tinh_toan_x2!E53/Tinh_toan_x2!E13^2)*2*Tinh_toan_x2!E13/Tinh_toan_x2!E12*F166</x:f>
        <x:v>-0.328486677631579</x:v>
      </x:c>
      <x:c r="F166" s="3" t="n">
        <x:f>Chu_ky!D19*(Chu_ky!F19+Chu_ky!E19*(Chu_ky!B19*7/10))</x:f>
        <x:v>0.007578947368421053</x:v>
      </x:c>
      <x:c r="G166" s="3" t="n">
        <x:f>Chu_ky!D19*Chu_ky!E19</x:f>
        <x:v>-0.10105263157894738</x:v>
      </x:c>
      <x:c r="H166" s="3" t="str">
        <x:f>Chu_ky!A19</x:f>
        <x:v>Không tải giảm j+</x:v>
      </x:c>
    </x:row>
    <x:row r="167" ht="32" customHeight="1">
      <x:c r="A167" s="3" t="n">
        <x:f>Chu_ky!H19+(Chu_ky!B19*8/10)</x:f>
        <x:v>211.45</x:v>
      </x:c>
      <x:c r="B167" s="3" t="n">
        <x:f>Chu_ky!D19*(Chu_ky!G19+Chu_ky!F19*(Chu_ky!B19*8/10)+0.5*Chu_ky!E19*(Chu_ky!B19*8/10)^2)</x:f>
        <x:v>-0.00012631578947367448</x:v>
      </x:c>
      <x:c r="C167" s="3" t="n">
        <x:f>Chu_ky!C19*(Chu_ky!D19*Tinh_toan_x2!E14*Tinh_toan_x2!E17+F167)</x:f>
        <x:v>-434.4423157894737</x:v>
      </x:c>
      <x:c r="D167" s="3" t="n">
        <x:f>E167*B167*2*Tinh_toan_x2!E13/Tinh_toan_x2!E12</x:f>
        <x:v>0.04123331301938741</x:v>
      </x:c>
      <x:c r="E167" s="3" t="n">
        <x:f>C167*Tinh_toan_x2!E12/(2*Tinh_toan_x2!E15*Tinh_toan_x2!E13)+(Tinh_toan_x2!C48+Tinh_toan_x2!E52+Tinh_toan_x2!E53/Tinh_toan_x2!E13^2)*2*Tinh_toan_x2!E13/Tinh_toan_x2!E12*F167</x:f>
        <x:v>-0.4080379934210527</x:v>
      </x:c>
      <x:c r="F167" s="3" t="n">
        <x:f>Chu_ky!D19*(Chu_ky!F19+Chu_ky!E19*(Chu_ky!B19*8/10))</x:f>
        <x:v>0.005052631578947368</x:v>
      </x:c>
      <x:c r="G167" s="3" t="n">
        <x:f>Chu_ky!D19*Chu_ky!E19</x:f>
        <x:v>-0.10105263157894738</x:v>
      </x:c>
      <x:c r="H167" s="3" t="str">
        <x:f>Chu_ky!A19</x:f>
        <x:v>Không tải giảm j+</x:v>
      </x:c>
    </x:row>
    <x:row r="168" ht="32" customHeight="1">
      <x:c r="A168" s="3" t="n">
        <x:f>Chu_ky!H19+(Chu_ky!B19*9/10)</x:f>
        <x:v>211.475</x:v>
      </x:c>
      <x:c r="B168" s="3" t="n">
        <x:f>Chu_ky!D19*(Chu_ky!G19+Chu_ky!F19*(Chu_ky!B19*9/10)+0.5*Chu_ky!E19*(Chu_ky!B19*9/10)^2)</x:f>
        <x:v>-0.00003157894736841157</x:v>
      </x:c>
      <x:c r="C168" s="3" t="n">
        <x:f>Chu_ky!C19*(Chu_ky!D19*Tinh_toan_x2!E14*Tinh_toan_x2!E17+F168)</x:f>
        <x:v>-435.0031578947369</x:v>
      </x:c>
      <x:c r="D168" s="3" t="n">
        <x:f>E168*B168*2*Tinh_toan_x2!E13/Tinh_toan_x2!E12</x:f>
        <x:v>0.012318045706367494</x:v>
      </x:c>
      <x:c r="E168" s="3" t="n">
        <x:f>C168*Tinh_toan_x2!E12/(2*Tinh_toan_x2!E15*Tinh_toan_x2!E13)+(Tinh_toan_x2!C48+Tinh_toan_x2!E52+Tinh_toan_x2!E53/Tinh_toan_x2!E13^2)*2*Tinh_toan_x2!E13/Tinh_toan_x2!E12*F168</x:f>
        <x:v>-0.48758930921052634</x:v>
      </x:c>
      <x:c r="F168" s="3" t="n">
        <x:f>Chu_ky!D19*(Chu_ky!F19+Chu_ky!E19*(Chu_ky!B19*9/10))</x:f>
        <x:v>0.0025263157894736855</x:v>
      </x:c>
      <x:c r="G168" s="3" t="n">
        <x:f>Chu_ky!D19*Chu_ky!E19</x:f>
        <x:v>-0.10105263157894738</x:v>
      </x:c>
      <x:c r="H168" s="3" t="str">
        <x:f>Chu_ky!A19</x:f>
        <x:v>Không tải giảm j+</x:v>
      </x:c>
    </x:row>
    <x:row r="169" ht="32" customHeight="1">
      <x:c r="A169" s="3" t="n">
        <x:f>Chu_ky!H19+(Chu_ky!B19*10/10)</x:f>
        <x:v>211.5</x:v>
      </x:c>
      <x:c r="B169" s="3" t="n">
        <x:f>Chu_ky!D19*(Chu_ky!G19+Chu_ky!F19*(Chu_ky!B19*10/10)+0.5*Chu_ky!E19*(Chu_ky!B19*10/10)^2)</x:f>
        <x:v>9.974659986866641e-18</x:v>
      </x:c>
      <x:c r="C169" s="3" t="n">
        <x:f>Chu_ky!C19*(Chu_ky!D19*Tinh_toan_x2!E14*Tinh_toan_x2!E17+F169)</x:f>
        <x:v>-435.564</x:v>
      </x:c>
      <x:c r="D169" s="3" t="n">
        <x:f>E169*B169*2*Tinh_toan_x2!E13/Tinh_toan_x2!E12</x:f>
        <x:v>-4.525627919291231e-15</x:v>
      </x:c>
      <x:c r="E169" s="3" t="n">
        <x:f>C169*Tinh_toan_x2!E12/(2*Tinh_toan_x2!E15*Tinh_toan_x2!E13)+(Tinh_toan_x2!C48+Tinh_toan_x2!E52+Tinh_toan_x2!E53/Tinh_toan_x2!E13^2)*2*Tinh_toan_x2!E13/Tinh_toan_x2!E12*F169</x:f>
        <x:v>-0.5671406250000001</x:v>
      </x:c>
      <x:c r="F169" s="3" t="n">
        <x:f>Chu_ky!D19*(Chu_ky!F19+Chu_ky!E19*(Chu_ky!B19*10/10))</x:f>
        <x:v>0</x:v>
      </x:c>
      <x:c r="G169" s="3" t="n">
        <x:f>Chu_ky!D19*Chu_ky!E19</x:f>
        <x:v>-0.10105263157894738</x:v>
      </x:c>
      <x:c r="H169" s="3" t="str">
        <x:f>Chu_ky!A19</x:f>
        <x:v>Không tải giảm j+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28ad426bdc994535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2" hidden="0" customWidth="1"/>
    <x:col min="2" max="2" width="27" hidden="0" customWidth="1"/>
    <x:col min="3" max="3" width="12" hidden="0" customWidth="1"/>
    <x:col min="4" max="4" width="66" hidden="0" customWidth="1"/>
  </x:cols>
  <x:sheetData>
    <x:row r="1" ht="32" customHeight="1">
      <x:c r="A1" s="3" t="str">
        <x:v>KIỂM NGHIỆM ĐỘNG CƠ VÀ THIẾT BỊ THEO x = 2</x:v>
      </x:c>
      <x:c r="B1" s="3"/>
      <x:c r="C1" s="3"/>
      <x:c r="D1" s="3"/>
    </x:row>
    <x:row r="2" ht="32" customHeight="1">
      <x:c r="A2" s="3"/>
      <x:c r="B2" s="3"/>
      <x:c r="C2" s="3"/>
      <x:c r="D2" s="3"/>
    </x:row>
    <x:row r="3" ht="32" customHeight="1">
      <x:c r="A3" s="3"/>
      <x:c r="B3" s="3"/>
      <x:c r="C3" s="3"/>
      <x:c r="D3" s="3"/>
    </x:row>
    <x:row r="4" ht="32" customHeight="1">
      <x:c r="A4" s="5" t="str">
        <x:v>Hạng mục</x:v>
      </x:c>
      <x:c r="B4" s="5" t="str">
        <x:v>Kết quả / yêu cầu</x:v>
      </x:c>
      <x:c r="C4" s="5" t="str">
        <x:v>Đơn vị</x:v>
      </x:c>
      <x:c r="D4" s="5" t="str">
        <x:v>Cơ sở và trạng thái</x:v>
      </x:c>
    </x:row>
    <x:row r="5" ht="43" customHeight="1">
      <x:c r="A5" s="3" t="str">
        <x:v>Động cơ theo sheet x=1</x:v>
      </x:c>
      <x:c r="B5" s="3" t="str">
        <x:v>M3AA 132ME 6</x:v>
      </x:c>
      <x:c r="C5" s="3" t="str"/>
      <x:c r="D5" s="3" t="str">
        <x:v>Số liệu kế thừa mẫu, chưa xác minh lại catalog</x:v>
      </x:c>
    </x:row>
    <x:row r="6" ht="43" customHeight="1">
      <x:c r="A6" s="3" t="str">
        <x:v>Công suất định mức</x:v>
      </x:c>
      <x:c r="B6" s="17" t="n">
        <x:f>Tinh_toan_x2!C34</x:f>
        <x:v>5.5</x:v>
      </x:c>
      <x:c r="C6" s="3" t="str">
        <x:v>kW</x:v>
      </x:c>
      <x:c r="D6" s="3" t="str">
        <x:v>Motor tham khảo 5,5 kW</x:v>
      </x:c>
    </x:row>
    <x:row r="7" ht="43" customHeight="1">
      <x:c r="A7" s="3" t="str">
        <x:v>Công suất thiết kế tải tịnh tiến</x:v>
      </x:c>
      <x:c r="B7" s="17" t="n">
        <x:f>Tinh_toan_x2!E24/1000</x:f>
        <x:v>4.5955692</x:v>
      </x:c>
      <x:c r="C7" s="3" t="str">
        <x:v>kW</x:v>
      </x:c>
      <x:c r="D7" s="3" t="str">
        <x:v>Hiệu suất cơ khí chỉ dùng một lần</x:v>
      </x:c>
    </x:row>
    <x:row r="8" ht="43" customHeight="1">
      <x:c r="A8" s="3" t="str">
        <x:v>Công suất hiệu dụng S-curve</x:v>
      </x:c>
      <x:c r="B8" s="17" t="n">
        <x:f>Chu_ky!B25/1000</x:f>
        <x:v>1.9246694715794124</x:v>
      </x:c>
      <x:c r="C8" s="3" t="str">
        <x:v>kW</x:v>
      </x:c>
      <x:c r="D8" s="3" t="str">
        <x:v>Tích phân toàn chu kỳ, đã gồm rotor</x:v>
      </x:c>
    </x:row>
    <x:row r="9" ht="43" customHeight="1">
      <x:c r="A9" s="3" t="str">
        <x:v>Mô-men danh định</x:v>
      </x:c>
      <x:c r="B9" s="17" t="n">
        <x:f>Tinh_toan_x2!C43</x:f>
        <x:v>53.9</x:v>
      </x:c>
      <x:c r="C9" s="3" t="str">
        <x:v>N·m</x:v>
      </x:c>
      <x:c r="D9" s="3" t="str">
        <x:v>Giá trị catalog chép trong sheet x=1</x:v>
      </x:c>
    </x:row>
    <x:row r="10" ht="43" customHeight="1">
      <x:c r="A10" s="3" t="str">
        <x:v>Mô-men khởi động trực tiếp</x:v>
      </x:c>
      <x:c r="B10" s="17" t="n">
        <x:f>Tinh_toan_x2!C44</x:f>
        <x:v>107.8</x:v>
      </x:c>
      <x:c r="C10" s="3" t="str">
        <x:v>N·m</x:v>
      </x:c>
      <x:c r="D10" s="3" t="str">
        <x:v>Không coi là mô-men sẵn có khi chạy VFD</x:v>
      </x:c>
    </x:row>
    <x:row r="11" ht="43" customHeight="1">
      <x:c r="A11" s="3" t="str">
        <x:v>Mô-men quỹ đạo có dự trữ</x:v>
      </x:c>
      <x:c r="B11" s="17" t="n">
        <x:f>Tinh_toan_x2!E56</x:f>
        <x:v>42.049237500000004</x:v>
      </x:c>
      <x:c r="C11" s="3" t="str">
        <x:v>N·m</x:v>
      </x:c>
      <x:c r="D11" s="3" t="str">
        <x:v>Kiểm tra vận hành T_tăng=2 s</x:v>
      </x:c>
    </x:row>
    <x:row r="12" ht="43" customHeight="1">
      <x:c r="A12" s="3" t="str">
        <x:v>Bao mô-men a_lim có dự trữ</x:v>
      </x:c>
      <x:c r="B12" s="17" t="n">
        <x:f>Tinh_toan_x2!E57</x:f>
        <x:v>66.5905125</x:v>
      </x:c>
      <x:c r="C12" s="3" t="str">
        <x:v>N·m</x:v>
      </x:c>
      <x:c r="D12" s="3" t="str">
        <x:v>Yêu cầu quá tải ngắn hạn nếu khai thác a=0,5</x:v>
      </x:c>
    </x:row>
    <x:row r="13" ht="43" customHeight="1">
      <x:c r="A13" s="3" t="str">
        <x:v>Mô-men RMS</x:v>
      </x:c>
      <x:c r="B13" s="17" t="n">
        <x:f>Chu_ky!B26</x:f>
        <x:v>20.973820904570346</x:v>
      </x:c>
      <x:c r="C13" s="3" t="str">
        <x:v>N·m</x:v>
      </x:c>
      <x:c r="D13" s="3" t="str">
        <x:v>Chỉ số nhiệt sơ bộ; cần đường cong nhiệt hãng</x:v>
      </x:c>
    </x:row>
    <x:row r="14" ht="43" customHeight="1">
      <x:c r="A14" s="3" t="str">
        <x:v>Tỷ số quá tải bao trên</x:v>
      </x:c>
      <x:c r="B14" s="17" t="n">
        <x:f>Tinh_toan_x2!E59</x:f>
        <x:v>1.235445500927644</x:v>
      </x:c>
      <x:c r="C14" s="3" t="str"/>
      <x:c r="D14" s="3" t="str">
        <x:v>Cần đối chiếu VFD và thời gian quá tải</x:v>
      </x:c>
    </x:row>
    <x:row r="15" ht="43" customHeight="1">
      <x:c r="A15" s="3" t="str">
        <x:v>Dòng motor</x:v>
      </x:c>
      <x:c r="B15" s="17" t="n">
        <x:f>Tinh_toan_x2!C41</x:f>
        <x:v>12</x:v>
      </x:c>
      <x:c r="C15" s="3" t="str">
        <x:v>A</x:v>
      </x:c>
      <x:c r="D15" s="3" t="str">
        <x:v>Theo sheet x=1</x:v>
      </x:c>
    </x:row>
    <x:row r="16" ht="43" customHeight="1">
      <x:c r="A16" s="3" t="str">
        <x:v>Công suất VFD tối thiểu</x:v>
      </x:c>
      <x:c r="B16" s="17" t="n">
        <x:f>1.3*Tinh_toan_x2!C34</x:f>
        <x:v>7.15</x:v>
      </x:c>
      <x:c r="C16" s="3" t="str">
        <x:v>kW</x:v>
      </x:c>
      <x:c r="D16" s="3" t="str">
        <x:v>Theo yêu cầu ảnh</x:v>
      </x:c>
    </x:row>
    <x:row r="17" ht="43" customHeight="1">
      <x:c r="A17" s="3" t="str">
        <x:v>Cấp VFD sơ bộ</x:v>
      </x:c>
      <x:c r="B17" s="17" t="n">
        <x:v>7.5</x:v>
      </x:c>
      <x:c r="C17" s="3" t="str">
        <x:v>kW</x:v>
      </x:c>
      <x:c r="D17" s="3" t="str">
        <x:v>Chọn tiếp theo; chưa chốt mã và dòng HD</x:v>
      </x:c>
    </x:row>
    <x:row r="18" ht="43" customHeight="1">
      <x:c r="A18" s="3" t="str">
        <x:v>Dòng bảo vệ tối thiểu theo đề</x:v>
      </x:c>
      <x:c r="B18" s="17" t="n">
        <x:f>1.5*Tinh_toan_x2!C41</x:f>
        <x:v>18</x:v>
      </x:c>
      <x:c r="C18" s="3" t="str">
        <x:v>A</x:v>
      </x:c>
      <x:c r="D18" s="3" t="str">
        <x:v>Quy tắc bài tập; còn phối hợp bảo vệ VFD</x:v>
      </x:c>
    </x:row>
    <x:row r="19" ht="43" customHeight="1">
      <x:c r="A19" s="3" t="str">
        <x:v>Cấp MCCB sơ bộ</x:v>
      </x:c>
      <x:c r="B19" s="17" t="n">
        <x:v>20</x:v>
      </x:c>
      <x:c r="C19" s="3" t="str">
        <x:v>A</x:v>
      </x:c>
      <x:c r="D19" s="3" t="str">
        <x:v>Chỉ theo ngưỡng 18 A; chưa chốt Icu, đặc tuyến</x:v>
      </x:c>
    </x:row>
    <x:row r="20" ht="43" customHeight="1">
      <x:c r="A20" s="3" t="str">
        <x:v>Động năng có tải</x:v>
      </x:c>
      <x:c r="B20" s="17" t="n">
        <x:f>0.5*(Tinh_toan_x2!E6+Tinh_toan_x2!E7+Tinh_toan_x2!E51)*Tinh_toan_x2!E9^2+0.5*(Tinh_toan_x2!C48+Tinh_toan_x2!E52+Tinh_toan_x2!E53/Tinh_toan_x2!E13^2)*Tinh_toan_x2!M35^2</x:f>
        <x:v>269.3088000000001</x:v>
      </x:c>
      <x:c r="C20" s="3" t="str">
        <x:v>J</x:v>
      </x:c>
      <x:c r="D20" s="3" t="str">
        <x:v>Giới hạn năng lượng cơ khi bỏ qua ma sát</x:v>
      </x:c>
    </x:row>
    <x:row r="21" ht="43" customHeight="1">
      <x:c r="A21" s="3" t="str">
        <x:v>Năng lượng hãm có dự trữ</x:v>
      </x:c>
      <x:c r="B21" s="17" t="n">
        <x:f>B20*Tinh_toan_x2!E16</x:f>
        <x:v>323.1705600000001</x:v>
      </x:c>
      <x:c r="C21" s="3" t="str">
        <x:v>J</x:v>
      </x:c>
      <x:c r="D21" s="3" t="str">
        <x:v>Không đủ để chốt điện trở Ω và W</x:v>
      </x:c>
    </x:row>
    <x:row r="22" ht="43" customHeight="1">
      <x:c r="A22" s="3" t="str">
        <x:v>Điện trở hãm</x:v>
      </x:c>
      <x:c r="B22" s="3" t="str">
        <x:v>Cần catalog VFD</x:v>
      </x:c>
      <x:c r="C22" s="3" t="str">
        <x:v>Ω</x:v>
      </x:c>
      <x:c r="D22" s="3" t="str">
        <x:v>R ≥ Rmin, kiểm tra Udc, P_xung và chu kỳ</x:v>
      </x:c>
    </x:row>
    <x:row r="23" ht="43" customHeight="1">
      <x:c r="A23" s="3" t="str">
        <x:v>Kiểm tra motor cho quỹ đạo</x:v>
      </x:c>
      <x:c r="B23" s="3" t="str">
        <x:f>IF(AND(Tinh_toan_x2!C34*1000&gt;=Chu_ky!B30,Tinh_toan_x2!C43&gt;=Tinh_toan_x2!E56),"Đạt sơ bộ","CẦN CHỌN LẠI")</x:f>
        <x:v>Đạt sơ bộ</x:v>
      </x:c>
      <x:c r="C23" s="3" t="str"/>
      <x:c r="D23" s="3" t="str">
        <x:v>Chưa xác nhận phát nhiệt thực tế</x:v>
      </x:c>
    </x:row>
  </x:sheetData>
  <x:mergeCells>
    <x:mergeCell ref="A1:D1"/>
  </x:mergeCells>
  <x:pageMargins left="0.7" right="0.7" top="0.75" bottom="0.75" header="0.3" footer="0.3"/>
</x:worksheet>
</file>