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d137b3a30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t_qua" sheetId="1" r:id="R669ea970aa774581"/>
    <x:sheet xmlns:r="http://schemas.openxmlformats.org/officeDocument/2006/relationships" name="Dau_vao" sheetId="2" r:id="Ra7f33d133fe4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0"/>
    <x:numFmt numFmtId="201" formatCode="0.00%"/>
    <x:numFmt numFmtId="202" formatCode="#,##0"/>
    <x:numFmt numFmtId="203" formatCode="#,##0.0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45C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EAF0F5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04d96c5ca4fc9" /><Relationship Type="http://schemas.openxmlformats.org/officeDocument/2006/relationships/theme" Target="/xl/theme/theme1.xml" Id="R5c48654219d243e5" /><Relationship Type="http://schemas.openxmlformats.org/officeDocument/2006/relationships/sharedStrings" Target="/xl/sharedStrings.xml" Id="R062045fcd9034281" /><Relationship Type="http://schemas.openxmlformats.org/officeDocument/2006/relationships/worksheet" Target="/xl/worksheets/sheet1.xml" Id="R669ea970aa774581" /><Relationship Type="http://schemas.openxmlformats.org/officeDocument/2006/relationships/worksheet" Target="/xl/worksheets/sheet2.xml" Id="Ra7f33d133fe443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18" hidden="0" customWidth="1"/>
    <x:col min="3" max="3" width="19" hidden="0" customWidth="1"/>
    <x:col min="4" max="4" width="63" hidden="0" customWidth="1"/>
  </x:cols>
  <x:sheetData>
    <x:row r="1" ht="38" customHeight="1">
      <x:c r="A1" s="4" t="str">
        <x:v>Tính chọn truyền động xe con 12 222 kg</x:v>
      </x:c>
      <x:c r="B1" s="4"/>
      <x:c r="C1" s="4"/>
      <x:c r="D1" s="4"/>
    </x:row>
    <x:row r="2" ht="34" customHeight="1">
      <x:c r="A2" s="3" t="str">
        <x:v>Phương án 2,2 kW có điều kiện. Kết quả cập nhật theo tab Dau_vao.</x:v>
      </x:c>
      <x:c r="B2" s="3"/>
      <x:c r="C2" s="3"/>
      <x:c r="D2" s="3"/>
    </x:row>
    <x:row r="3" ht="34" customHeight="1">
      <x:c r="A3" s="3"/>
      <x:c r="B3" s="3"/>
      <x:c r="C3" s="3"/>
      <x:c r="D3" s="3"/>
    </x:row>
    <x:row r="4" ht="34" customHeight="1">
      <x:c r="A4" s="6" t="str">
        <x:v>Đại lượng</x:v>
      </x:c>
      <x:c r="B4" s="6" t="str">
        <x:v>Kết quả</x:v>
      </x:c>
      <x:c r="C4" s="6" t="str">
        <x:v>Đơn vị</x:v>
      </x:c>
      <x:c r="D4" s="6" t="str">
        <x:v>Cách tính / điều kiện</x:v>
      </x:c>
    </x:row>
    <x:row r="5" ht="34" customHeight="1">
      <x:c r="A5" s="3" t="str">
        <x:v>Khối lượng có tải</x:v>
      </x:c>
      <x:c r="B5" s="16" t="n">
        <x:f>Dau_vao!B5+Dau_vao!B6+Dau_vao!B7</x:f>
        <x:v>12444</x:v>
      </x:c>
      <x:c r="C5" s="3" t="str">
        <x:v>kg</x:v>
      </x:c>
      <x:c r="D5" s="3" t="str">
        <x:v>Q + m_h + m_x</x:v>
      </x:c>
    </x:row>
    <x:row r="6" ht="34" customHeight="1">
      <x:c r="A6" s="3" t="str">
        <x:v>Khối lượng không tải</x:v>
      </x:c>
      <x:c r="B6" s="16" t="n">
        <x:f>Dau_vao!B6+Dau_vao!B7</x:f>
        <x:v>222</x:v>
      </x:c>
      <x:c r="C6" s="3" t="str">
        <x:v>kg</x:v>
      </x:c>
      <x:c r="D6" s="3" t="str">
        <x:v>m_h + m_x</x:v>
      </x:c>
    </x:row>
    <x:row r="7" ht="34" customHeight="1">
      <x:c r="A7" s="3" t="str">
        <x:v>Bán kính bánh</x:v>
      </x:c>
      <x:c r="B7" s="7" t="n">
        <x:f>Dau_vao!B12/2</x:f>
        <x:v>0.125</x:v>
      </x:c>
      <x:c r="C7" s="3" t="str">
        <x:v>m</x:v>
      </x:c>
      <x:c r="D7" s="3" t="str">
        <x:v>D / 2</x:v>
      </x:c>
    </x:row>
    <x:row r="8" ht="34" customHeight="1">
      <x:c r="A8" s="3" t="str">
        <x:v>Tốc độ bánh</x:v>
      </x:c>
      <x:c r="B8" s="7" t="n">
        <x:f>60*Dau_vao!B8/(2*PI()*B7)</x:f>
        <x:v>9.16732472209317</x:v>
      </x:c>
      <x:c r="C8" s="3" t="str">
        <x:v>vòng/phút</x:v>
      </x:c>
      <x:c r="D8" s="3" t="str">
        <x:v>Theo tốc độ ngang</x:v>
      </x:c>
    </x:row>
    <x:row r="9" ht="34" customHeight="1">
      <x:c r="A9" s="3" t="str">
        <x:v>Tốc độ motor làm việc</x:v>
      </x:c>
      <x:c r="B9" s="7" t="n">
        <x:f>B8*Dau_vao!B13</x:f>
        <x:v>916.7324722093169</x:v>
      </x:c>
      <x:c r="C9" s="3" t="str">
        <x:v>vòng/phút</x:v>
      </x:c>
      <x:c r="D9" s="3" t="str">
        <x:v>n_b × i</x:v>
      </x:c>
    </x:row>
    <x:row r="10" ht="34" customHeight="1">
      <x:c r="A10" s="3" t="str">
        <x:v>Tốc độ góc motor</x:v>
      </x:c>
      <x:c r="B10" s="7" t="n">
        <x:f>Dau_vao!B8*Dau_vao!B13/B7</x:f>
        <x:v>96</x:v>
      </x:c>
      <x:c r="C10" s="3" t="str">
        <x:v>rad/s</x:v>
      </x:c>
      <x:c r="D10" s="3" t="str">
        <x:v>v × i / r</x:v>
      </x:c>
    </x:row>
    <x:row r="11" ht="34" customHeight="1">
      <x:c r="A11" s="3" t="str">
        <x:v>Lực cản lăn có tải</x:v>
      </x:c>
      <x:c r="B11" s="17" t="n">
        <x:f>Dau_vao!B17*B5*Dau_vao!B16</x:f>
        <x:v>1220.7564</x:v>
      </x:c>
      <x:c r="C11" s="3" t="str">
        <x:v>N</x:v>
      </x:c>
      <x:c r="D11" s="3" t="str">
        <x:v>f_r × m × g</x:v>
      </x:c>
    </x:row>
    <x:row r="12" ht="34" customHeight="1">
      <x:c r="A12" s="3" t="str">
        <x:v>Lực kéo bao trên</x:v>
      </x:c>
      <x:c r="B12" s="17" t="n">
        <x:f>B11+B5*Dau_vao!B9</x:f>
        <x:v>7442.7564</x:v>
      </x:c>
      <x:c r="C12" s="3" t="str">
        <x:v>N</x:v>
      </x:c>
      <x:c r="D12" s="3" t="str">
        <x:v>F_c + m × a_lim</x:v>
      </x:c>
    </x:row>
    <x:row r="13" ht="34" customHeight="1">
      <x:c r="A13" s="3" t="str">
        <x:v>Lực bám giả định</x:v>
      </x:c>
      <x:c r="B13" s="17" t="n">
        <x:f>Dau_vao!B18*Dau_vao!B19*B5*Dau_vao!B16</x:f>
        <x:v>12207.564000000002</x:v>
      </x:c>
      <x:c r="C13" s="3" t="str">
        <x:v>N</x:v>
      </x:c>
      <x:c r="D13" s="3" t="str">
        <x:v>μ_b × tỷ lệ tải × m × g</x:v>
      </x:c>
    </x:row>
    <x:row r="14" ht="34" customHeight="1">
      <x:c r="A14" s="3" t="str">
        <x:v>Hệ số dự trữ bám</x:v>
      </x:c>
      <x:c r="B14" s="7" t="n">
        <x:f>B13/B12</x:f>
        <x:v>1.6401939475004181</x:v>
      </x:c>
      <x:c r="C14" s="3" t="str"/>
      <x:c r="D14" s="3" t="str">
        <x:v>Phải ≥ 1 với phân bố tải thực</x:v>
      </x:c>
    </x:row>
    <x:row r="15" ht="34" customHeight="1">
      <x:c r="A15" s="3" t="str">
        <x:v>Mô-men bánh thiết kế</x:v>
      </x:c>
      <x:c r="B15" s="17" t="n">
        <x:f>Dau_vao!B15*B12*B7</x:f>
        <x:v>1116.41346</x:v>
      </x:c>
      <x:c r="C15" s="3" t="str">
        <x:v>N·m</x:v>
      </x:c>
      <x:c r="D15" s="3" t="str">
        <x:v>k × F_k × r</x:v>
      </x:c>
    </x:row>
    <x:row r="16" ht="34" customHeight="1">
      <x:c r="A16" s="3" t="str">
        <x:v>Tải bánh thiết kế</x:v>
      </x:c>
      <x:c r="B16" s="17" t="n">
        <x:f>Dau_vao!B28*B5*Dau_vao!B16/Dau_vao!B27</x:f>
        <x:v>38148.637500000004</x:v>
      </x:c>
      <x:c r="C16" s="3" t="str">
        <x:v>N</x:v>
      </x:c>
      <x:c r="D16" s="3" t="str">
        <x:v>Giả thiết phân bố đều</x:v>
      </x:c>
    </x:row>
    <x:row r="17" ht="34" customHeight="1">
      <x:c r="A17" s="3" t="str">
        <x:v>Quán tính tịnh tiến quy đổi</x:v>
      </x:c>
      <x:c r="B17" s="7" t="n">
        <x:f>B5*(B7/Dau_vao!B13)^2</x:f>
        <x:v>0.01944375</x:v>
      </x:c>
      <x:c r="C17" s="3" t="str">
        <x:v>kg·m²</x:v>
      </x:c>
      <x:c r="D17" s="3" t="str">
        <x:v>Không cộng trùng vào mô-men có m × a</x:v>
      </x:c>
    </x:row>
    <x:row r="18" ht="34" customHeight="1">
      <x:c r="A18" s="3" t="str">
        <x:v>Mô-men chạy đều C</x:v>
      </x:c>
      <x:c r="B18" s="7" t="n">
        <x:f>B11*B7/(Dau_vao!B14*Dau_vao!B13)</x:f>
        <x:v>1.5895265625</x:v>
      </x:c>
      <x:c r="C18" s="3" t="str">
        <x:v>N·m</x:v>
      </x:c>
      <x:c r="D18" s="3" t="str">
        <x:v>F_c × r / (η × i)</x:v>
      </x:c>
    </x:row>
    <x:row r="19" ht="34" customHeight="1">
      <x:c r="A19" s="3" t="str">
        <x:v>Hệ số gia tốc có tải B</x:v>
      </x:c>
      <x:c r="B19" s="7" t="n">
        <x:f>B5*B7/(Dau_vao!B14*Dau_vao!B13)+Dau_vao!B20*Dau_vao!B13/B7</x:f>
        <x:v>28.203125</x:v>
      </x:c>
      <x:c r="C19" s="3" t="str">
        <x:v>N·m/(m/s²)</x:v>
      </x:c>
      <x:c r="D19" s="3" t="str">
        <x:v>Gồm quán tính phần quay</x:v>
      </x:c>
    </x:row>
    <x:row r="20" ht="34" customHeight="1">
      <x:c r="A20" s="3" t="str">
        <x:v>Mô-men bao trên</x:v>
      </x:c>
      <x:c r="B20" s="7" t="n">
        <x:f>B18+B19*Dau_vao!B9</x:f>
        <x:v>15.6910890625</x:v>
      </x:c>
      <x:c r="C20" s="3" t="str">
        <x:v>N·m</x:v>
      </x:c>
      <x:c r="D20" s="3" t="str">
        <x:v>C + B × a_lim</x:v>
      </x:c>
    </x:row>
    <x:row r="21" ht="34" customHeight="1">
      <x:c r="A21" s="13" t="str">
        <x:v>Mô-men yêu cầu có dự trữ</x:v>
      </x:c>
      <x:c r="B21" s="14" t="n">
        <x:f>Dau_vao!B15*B20</x:f>
        <x:v>18.829306875</x:v>
      </x:c>
      <x:c r="C21" s="13" t="str">
        <x:v>N·m</x:v>
      </x:c>
      <x:c r="D21" s="13" t="str">
        <x:v>k × M_bao</x:v>
      </x:c>
    </x:row>
    <x:row r="22" ht="34" customHeight="1">
      <x:c r="A22" s="13" t="str">
        <x:v>Công suất cơ bao trên</x:v>
      </x:c>
      <x:c r="B22" s="14" t="n">
        <x:f>B21*B10/1000</x:f>
        <x:v>1.80761346</x:v>
      </x:c>
      <x:c r="C22" s="13" t="str">
        <x:v>kW</x:v>
      </x:c>
      <x:c r="D22" s="13" t="str">
        <x:v>Đã tính η trong mô-men</x:v>
      </x:c>
    </x:row>
    <x:row r="23" ht="34" customHeight="1">
      <x:c r="A23" s="13" t="str">
        <x:v>Mô-men motor danh định</x:v>
      </x:c>
      <x:c r="B23" s="14" t="n">
        <x:f>Dau_vao!B21*1000/(Dau_vao!B22*2*PI()/60)</x:f>
        <x:v>21.88380467513561</x:v>
      </x:c>
      <x:c r="C23" s="13" t="str">
        <x:v>N·m</x:v>
      </x:c>
      <x:c r="D23" s="13" t="str">
        <x:v>Motor đề xuất / tốc độ danh định</x:v>
      </x:c>
    </x:row>
    <x:row r="24" ht="34" customHeight="1">
      <x:c r="A24" s="13" t="str">
        <x:v>Dự trữ mô-men motor</x:v>
      </x:c>
      <x:c r="B24" s="14" t="n">
        <x:f>B23/B21</x:f>
        <x:v>1.1622204056906162</x:v>
      </x:c>
      <x:c r="C24" s="13" t="str"/>
      <x:c r="D24" s="13" t="str">
        <x:v>Phải ≥ 1; còn kiểm tra catalog</x:v>
      </x:c>
    </x:row>
    <x:row r="25" ht="34" customHeight="1">
      <x:c r="A25" s="3" t="str">
        <x:v>Gia tốc S-curve thường</x:v>
      </x:c>
      <x:c r="B25" s="7" t="n">
        <x:f>Dau_vao!B8/(Dau_vao!B23-Dau_vao!B24)</x:f>
        <x:v>0.06857142857142857</x:v>
      </x:c>
      <x:c r="C25" s="3" t="str">
        <x:v>m/s²</x:v>
      </x:c>
      <x:c r="D25" s="3" t="str">
        <x:v>v / (Ta − tj)</x:v>
      </x:c>
    </x:row>
    <x:row r="26" ht="34" customHeight="1">
      <x:c r="A26" s="3" t="str">
        <x:v>Jerk S-curve thường</x:v>
      </x:c>
      <x:c r="B26" s="7" t="n">
        <x:f>B25/Dau_vao!B24</x:f>
        <x:v>0.2742857142857143</x:v>
      </x:c>
      <x:c r="C26" s="3" t="str">
        <x:v>m/s³</x:v>
      </x:c>
      <x:c r="D26" s="3" t="str">
        <x:v>a_p / tj</x:v>
      </x:c>
    </x:row>
    <x:row r="27" ht="34" customHeight="1">
      <x:c r="A27" s="3" t="str">
        <x:v>Mô-men đỉnh chạy thường</x:v>
      </x:c>
      <x:c r="B27" s="7" t="n">
        <x:f>B18+B19*B25</x:f>
        <x:v>3.5234551339285716</x:v>
      </x:c>
      <x:c r="C27" s="3" t="str">
        <x:v>N·m</x:v>
      </x:c>
      <x:c r="D27" s="3" t="str">
        <x:v>Chưa nhân hệ số dự trữ</x:v>
      </x:c>
    </x:row>
    <x:row r="28" ht="34" customHeight="1">
      <x:c r="A28" s="3" t="str">
        <x:v>Quãng đường mỗi đoạn tăng/giảm</x:v>
      </x:c>
      <x:c r="B28" s="7" t="n">
        <x:f>Dau_vao!B8*Dau_vao!B23/2</x:f>
        <x:v>0.12</x:v>
      </x:c>
      <x:c r="C28" s="3" t="str">
        <x:v>m</x:v>
      </x:c>
      <x:c r="D28" s="3" t="str">
        <x:v>v × Ta / 2</x:v>
      </x:c>
    </x:row>
    <x:row r="29" ht="34" customHeight="1">
      <x:c r="A29" s="3" t="str">
        <x:v>Thời gian chạy đều</x:v>
      </x:c>
      <x:c r="B29" s="7" t="n">
        <x:f>Dau_vao!B25/Dau_vao!B8-Dau_vao!B23</x:f>
        <x:v>73</x:v>
      </x:c>
      <x:c r="C29" s="3" t="str">
        <x:v>s</x:v>
      </x:c>
      <x:c r="D29" s="3" t="str">
        <x:v>Chỉ áp dụng nếu L đủ dài</x:v>
      </x:c>
    </x:row>
    <x:row r="30" ht="34" customHeight="1">
      <x:c r="A30" s="3" t="str">
        <x:v>Thời gian một lượt</x:v>
      </x:c>
      <x:c r="B30" s="7" t="n">
        <x:f>B29+2*Dau_vao!B23</x:f>
        <x:v>77</x:v>
      </x:c>
      <x:c r="C30" s="3" t="str">
        <x:v>s</x:v>
      </x:c>
      <x:c r="D30" s="3" t="str">
        <x:v>Ta + chạy đều + Ta</x:v>
      </x:c>
    </x:row>
    <x:row r="31" ht="34" customHeight="1">
      <x:c r="A31" s="3" t="str">
        <x:v>Thời gian chu kỳ</x:v>
      </x:c>
      <x:c r="B31" s="7" t="n">
        <x:f>2*B30+2*Dau_vao!B26</x:f>
        <x:v>214</x:v>
      </x:c>
      <x:c r="C31" s="3" t="str">
        <x:v>s</x:v>
      </x:c>
      <x:c r="D31" s="3" t="str">
        <x:v>Có tải đi, không tải về</x:v>
      </x:c>
    </x:row>
    <x:row r="32" ht="34" customHeight="1">
      <x:c r="A32" s="3" t="str">
        <x:v>Hệ số chạy CDF</x:v>
      </x:c>
      <x:c r="B32" s="12" t="n">
        <x:f>2*B30/B31</x:f>
        <x:v>0.719626168224299</x:v>
      </x:c>
      <x:c r="C32" s="3" t="str"/>
      <x:c r="D32" s="3" t="str">
        <x:v>Tỷ lệ thời gian, không tự xác định S3/S4</x:v>
      </x:c>
    </x:row>
    <x:row r="33" ht="34" customHeight="1">
      <x:c r="A33" s="3" t="str">
        <x:v>Mô-men đều không tải C0</x:v>
      </x:c>
      <x:c r="B33" s="7" t="n">
        <x:f>Dau_vao!B17*B6*Dau_vao!B16*B7/(Dau_vao!B14*Dau_vao!B13)</x:f>
        <x:v>0.02835703125</x:v>
      </x:c>
      <x:c r="C33" s="3" t="str">
        <x:v>N·m</x:v>
      </x:c>
      <x:c r="D33" s="3" t="str">
        <x:v>f_r × m0 × g × r / (η × i)</x:v>
      </x:c>
    </x:row>
    <x:row r="34" ht="34" customHeight="1">
      <x:c r="A34" s="3" t="str">
        <x:v>Hệ số gia tốc không tải B0</x:v>
      </x:c>
      <x:c r="B34" s="7" t="n">
        <x:f>B6*B7/(Dau_vao!B14*Dau_vao!B13)+Dau_vao!B20*Dau_vao!B13/B7</x:f>
        <x:v>12.2890625</x:v>
      </x:c>
      <x:c r="C34" s="3" t="str">
        <x:v>N·m/(m/s²)</x:v>
      </x:c>
      <x:c r="D34" s="3" t="str">
        <x:v>Không bỏ quán tính rotor khi không tải</x:v>
      </x:c>
    </x:row>
    <x:row r="35" ht="34" customHeight="1">
      <x:c r="A35" s="3" t="str">
        <x:v>Tích phân a² trong một lượt</x:v>
      </x:c>
      <x:c r="B35" s="7" t="n">
        <x:f>2*B25^2*(Dau_vao!B23-4*Dau_vao!B24/3)</x:f>
        <x:v>0.015673469387755105</x:v>
      </x:c>
      <x:c r="C35" s="3" t="str">
        <x:v>m²/s³</x:v>
      </x:c>
      <x:c r="D35" s="3" t="str">
        <x:v>Hai đoạn tăng và giảm tốc</x:v>
      </x:c>
    </x:row>
    <x:row r="36" ht="34" customHeight="1">
      <x:c r="A36" s="13" t="str">
        <x:v>Mô-men RMS chu kỳ</x:v>
      </x:c>
      <x:c r="B36" s="14" t="n">
        <x:f>SQRT(((B18^2+B33^2)*B30+(B19^2+B34^2)*B35)/B31)</x:f>
        <x:v>0.989297081243038</x:v>
      </x:c>
      <x:c r="C36" s="13" t="str">
        <x:v>N·m</x:v>
      </x:c>
      <x:c r="D36" s="13" t="str">
        <x:v>Có điều kiện như ghi chú đầu vào</x:v>
      </x:c>
    </x:row>
    <x:row r="37" ht="34" customHeight="1">
      <x:c r="A37" s="3" t="str">
        <x:v>Động năng có tải</x:v>
      </x:c>
      <x:c r="B37" s="17" t="n">
        <x:f>0.5*B5*Dau_vao!B8^2+0.5*Dau_vao!B20*B10^2</x:f>
        <x:v>158.7168</x:v>
      </x:c>
      <x:c r="C37" s="3" t="str">
        <x:v>J</x:v>
      </x:c>
      <x:c r="D37" s="3" t="str">
        <x:v>Tịnh tiến + quay</x:v>
      </x:c>
    </x:row>
    <x:row r="38" ht="34" customHeight="1">
      <x:c r="A38" s="3" t="str">
        <x:v>Động năng không tải</x:v>
      </x:c>
      <x:c r="B38" s="17" t="n">
        <x:f>0.5*B6*Dau_vao!B8^2+0.5*Dau_vao!B20*B10^2</x:f>
        <x:v>70.7184</x:v>
      </x:c>
      <x:c r="C38" s="3" t="str">
        <x:v>J</x:v>
      </x:c>
      <x:c r="D38" s="3" t="str">
        <x:v>Tịnh tiến + quay</x:v>
      </x:c>
    </x:row>
    <x:row r="39" ht="34" customHeight="1">
      <x:c r="A39" s="3" t="str">
        <x:v>Năng lượng thiết kế một dừng</x:v>
      </x:c>
      <x:c r="B39" s="17" t="n">
        <x:f>Dau_vao!B15*B37</x:f>
        <x:v>190.46016</x:v>
      </x:c>
      <x:c r="C39" s="3" t="str">
        <x:v>J</x:v>
      </x:c>
      <x:c r="D39" s="3" t="str">
        <x:v>Chưa chọn điện trở khi thiếu dữ liệu chopper</x:v>
      </x:c>
    </x:row>
    <x:row r="40" ht="34" customHeight="1">
      <x:c r="A40" s="3" t="str">
        <x:v>Năng lượng dừng / chu kỳ</x:v>
      </x:c>
      <x:c r="B40" s="7" t="n">
        <x:f> (B37+B38)/B31</x:f>
        <x:v>1.0721271028037385</x:v>
      </x:c>
      <x:c r="C40" s="3" t="str">
        <x:v>W</x:v>
      </x:c>
      <x:c r="D40" s="3" t="str">
        <x:v>Bỏ qua cản, không dùng riêng để chọn điện trở</x:v>
      </x:c>
    </x:row>
    <x:row r="41" ht="34" customHeight="1">
      <x:c r="A41" s="3" t="str">
        <x:v>Tăng tốc nhanh nhất từ nghỉ</x:v>
      </x:c>
      <x:c r="B41" s="7" t="n">
        <x:f>IF(Dau_vao!B8&lt;Dau_vao!B9^2/Dau_vao!B10,2*SQRT(Dau_vao!B8/Dau_vao!B10),Dau_vao!B8/Dau_vao!B9+Dau_vao!B9/Dau_vao!B10)</x:f>
        <x:v>0.4898979485566356</x:v>
      </x:c>
      <x:c r="C41" s="3" t="str">
        <x:v>s</x:v>
      </x:c>
      <x:c r="D41" s="3" t="str">
        <x:v>Quỹ đạo tam giác hoặc hình thang gia tốc</x:v>
      </x:c>
    </x:row>
    <x:row r="42" ht="34" customHeight="1">
      <x:c r="A42" s="3" t="str">
        <x:v>Đối chiếu lực theo f = 0,2</x:v>
      </x:c>
      <x:c r="B42" s="17" t="n">
        <x:f>B5*(0.2*Dau_vao!B16+Dau_vao!B9)</x:f>
        <x:v>30637.128</x:v>
      </x:c>
      <x:c r="C42" s="3" t="str">
        <x:v>N</x:v>
      </x:c>
      <x:c r="D42" s="3" t="str">
        <x:v>Mô hình mẫu; không dùng để chốt bánh–ray</x:v>
      </x:c>
    </x:row>
    <x:row r="43" ht="34" customHeight="1">
      <x:c r="A43" s="3" t="str">
        <x:v>Đối chiếu công suất theo mẫu</x:v>
      </x:c>
      <x:c r="B43" s="7" t="n">
        <x:f>Dau_vao!B15*B42*Dau_vao!B8/(Dau_vao!B14*1000)</x:f>
        <x:v>4.5955692</x:v>
      </x:c>
      <x:c r="C43" s="3" t="str">
        <x:v>kW</x:v>
      </x:c>
      <x:c r="D43" s="3" t="str">
        <x:v>Chưa gồm quán tính phần quay</x:v>
      </x:c>
    </x:row>
    <x:row r="44" ht="34" customHeight="1">
      <x:c r="A44" s="3" t="str">
        <x:v>Dự trữ bám theo mẫu</x:v>
      </x:c>
      <x:c r="B44" s="7" t="n">
        <x:f>B13/B42</x:f>
        <x:v>0.3984565393988628</x:v>
      </x:c>
      <x:c r="C44" s="3" t="str"/>
      <x:c r="D44" s="3" t="str">
        <x:v>&lt; 1: không đạt mô hình bám giả định</x:v>
      </x:c>
    </x:row>
    <x:row r="45" ht="34" customHeight="1">
      <x:c r="A45" s="3"/>
      <x:c r="B45" s="3"/>
      <x:c r="C45" s="3"/>
      <x:c r="D45" s="3"/>
    </x:row>
    <x:row r="46" ht="34" customHeight="1">
      <x:c r="A46" s="10" t="str">
        <x:v>Kiểm tra điều kiện mô hình và đầu vào</x:v>
      </x:c>
      <x:c r="B46" s="10"/>
      <x:c r="C46" s="10"/>
      <x:c r="D46" s="10"/>
    </x:row>
    <x:row r="47" ht="39" customHeight="1">
      <x:c r="A47" s="3" t="str">
        <x:v>Đầu vào đầy đủ</x:v>
      </x:c>
      <x:c r="B47" s="3" t="str">
        <x:f>IF(COUNTBLANK(Dau_vao!B5:B28)&gt;0,"THIẾU DỮ LIỆU","Đã điền")</x:f>
        <x:v>Đã điền</x:v>
      </x:c>
      <x:c r="C47" s="3"/>
      <x:c r="D47" s="3"/>
    </x:row>
    <x:row r="48" ht="39" customHeight="1">
      <x:c r="A48" s="3" t="str">
        <x:v>Quỹ đạo hợp lệ</x:v>
      </x:c>
      <x:c r="B48" s="3" t="str">
        <x:f>IF(AND(Dau_vao!B23&gt;=2*Dau_vao!B24,Dau_vao!B24&gt;0,B29&gt;=0,B25&lt;=Dau_vao!B9,B26&lt;=Dau_vao!B10),"Đạt theo giả thiết","CẦN TÍNH LẠI")</x:f>
        <x:v>Đạt theo giả thiết</x:v>
      </x:c>
      <x:c r="C48" s="3"/>
      <x:c r="D48" s="3"/>
    </x:row>
    <x:row r="49" ht="39" customHeight="1">
      <x:c r="A49" s="3" t="str">
        <x:v>Công thức RMS còn áp dụng</x:v>
      </x:c>
      <x:c r="B49" s="3" t="str">
        <x:f>IF(B25&lt;Dau_vao!B17*Dau_vao!B16,"Áp dụng","CẦN MÔ HÌNH TRUYỀN NGƯỢC")</x:f>
        <x:v>Áp dụng</x:v>
      </x:c>
      <x:c r="C49" s="3"/>
      <x:c r="D49" s="3"/>
    </x:row>
    <x:row r="50" ht="39" customHeight="1">
      <x:c r="A50" s="3" t="str">
        <x:v>Mô-men motor và lực bám</x:v>
      </x:c>
      <x:c r="B50" s="3" t="str">
        <x:f>IF(AND(B24&gt;=1,B14&gt;=1),"Đạt theo giả thiết","CẦN CHỌN LẠI")</x:f>
        <x:v>Đạt theo giả thiết</x:v>
      </x:c>
      <x:c r="C50" s="3"/>
      <x:c r="D50" s="3"/>
    </x:row>
    <x:row r="51" ht="39" customHeight="1">
      <x:c r="A51" s="3" t="str">
        <x:v>Điều kiện trước chế tạo</x:v>
      </x:c>
      <x:c r="B51" s="3" t="str">
        <x:f>"Cần khối lượng khung, catalog, phân bố bánh và kiểm chứng dừng thực"</x:f>
        <x:v>Cần khối lượng khung, catalog, phân bố bánh và kiểm chứng dừng thực</x:v>
      </x:c>
      <x:c r="C51" s="3"/>
      <x:c r="D51" s="3"/>
    </x:row>
  </x:sheetData>
  <x:mergeCells>
    <x:mergeCell ref="A1:D1"/>
    <x:mergeCell ref="A2:D2"/>
    <x:mergeCell ref="A46:D46"/>
    <x:mergeCell ref="B47:D47"/>
    <x:mergeCell ref="B48:D48"/>
    <x:mergeCell ref="B49:D49"/>
    <x:mergeCell ref="B50:D50"/>
    <x:mergeCell ref="B51:D51"/>
  </x:mergeCells>
  <x:conditionalFormatting sqref="B47:D50">
    <x:cfRule type="containsText" dxfId="0" priority="1" operator="containsText" text="CẦN"/>
    <x:cfRule type="containsText" dxfId="1" priority="2" operator="containsText" text="THIẾU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18" hidden="0" customWidth="1"/>
    <x:col min="3" max="3" width="19" hidden="0" customWidth="1"/>
    <x:col min="4" max="4" width="63" hidden="0" customWidth="1"/>
  </x:cols>
  <x:sheetData>
    <x:row r="1" ht="38" customHeight="1">
      <x:c r="A1" s="4" t="str">
        <x:v>Thông số xe con cầu trục</x:v>
      </x:c>
      <x:c r="B1" s="4"/>
      <x:c r="C1" s="4"/>
      <x:c r="D1" s="4"/>
    </x:row>
    <x:row r="2" ht="34" customHeight="1">
      <x:c r="A2" s="3" t="str">
        <x:v>Ô vàng có thể sửa. Phương án có điều kiện; đọc ghi chú trước khi thay đầu vào.</x:v>
      </x:c>
      <x:c r="B2" s="3"/>
      <x:c r="C2" s="3"/>
      <x:c r="D2" s="3"/>
    </x:row>
    <x:row r="3" ht="34" customHeight="1">
      <x:c r="A3" s="3"/>
      <x:c r="B3" s="3"/>
      <x:c r="C3" s="3"/>
      <x:c r="D3" s="3"/>
    </x:row>
    <x:row r="4" ht="34" customHeight="1">
      <x:c r="A4" s="6" t="str">
        <x:v>Đại lượng</x:v>
      </x:c>
      <x:c r="B4" s="6" t="str">
        <x:v>Giá trị</x:v>
      </x:c>
      <x:c r="C4" s="6" t="str">
        <x:v>Đơn vị</x:v>
      </x:c>
      <x:c r="D4" s="6" t="str">
        <x:v>Nguồn hoặc giả thiết</x:v>
      </x:c>
    </x:row>
    <x:row r="5" ht="34" customHeight="1">
      <x:c r="A5" s="3" t="str">
        <x:v>Tải nâng Q</x:v>
      </x:c>
      <x:c r="B5" s="15" t="n">
        <x:v>12222</x:v>
      </x:c>
      <x:c r="C5" s="3" t="str">
        <x:v>kg</x:v>
      </x:c>
      <x:c r="D5" s="3" t="str">
        <x:v>Đề bài</x:v>
      </x:c>
    </x:row>
    <x:row r="6" ht="34" customHeight="1">
      <x:c r="A6" s="3" t="str">
        <x:v>Khối lượng nâng hạ m_h</x:v>
      </x:c>
      <x:c r="B6" s="15" t="n">
        <x:v>222</x:v>
      </x:c>
      <x:c r="C6" s="3" t="str">
        <x:v>kg</x:v>
      </x:c>
      <x:c r="D6" s="3" t="str">
        <x:v>Đề bài</x:v>
      </x:c>
    </x:row>
    <x:row r="7" ht="34" customHeight="1">
      <x:c r="A7" s="3" t="str">
        <x:v>Khối lượng bổ sung m_x</x:v>
      </x:c>
      <x:c r="B7" s="15" t="n">
        <x:v>0</x:v>
      </x:c>
      <x:c r="C7" s="3" t="str">
        <x:v>kg</x:v>
      </x:c>
      <x:c r="D7" s="3" t="str">
        <x:v>Chưa có dữ liệu; 0 là mốc tối thiểu, phải cập nhật</x:v>
      </x:c>
    </x:row>
    <x:row r="8" ht="34" customHeight="1">
      <x:c r="A8" s="3" t="str">
        <x:v>Tốc độ tối đa</x:v>
      </x:c>
      <x:c r="B8" s="9" t="n">
        <x:v>0.12</x:v>
      </x:c>
      <x:c r="C8" s="3" t="str">
        <x:v>m/s</x:v>
      </x:c>
      <x:c r="D8" s="3" t="str">
        <x:v>Đề bài</x:v>
      </x:c>
    </x:row>
    <x:row r="9" ht="34" customHeight="1">
      <x:c r="A9" s="3" t="str">
        <x:v>Gia tốc giới hạn</x:v>
      </x:c>
      <x:c r="B9" s="9" t="n">
        <x:v>0.5</x:v>
      </x:c>
      <x:c r="C9" s="3" t="str">
        <x:v>m/s²</x:v>
      </x:c>
      <x:c r="D9" s="3" t="str">
        <x:v>Đề bài</x:v>
      </x:c>
    </x:row>
    <x:row r="10" ht="34" customHeight="1">
      <x:c r="A10" s="3" t="str">
        <x:v>Jerk giới hạn</x:v>
      </x:c>
      <x:c r="B10" s="9" t="n">
        <x:v>2</x:v>
      </x:c>
      <x:c r="C10" s="3" t="str">
        <x:v>m/s³</x:v>
      </x:c>
      <x:c r="D10" s="3" t="str">
        <x:v>Đề bài</x:v>
      </x:c>
    </x:row>
    <x:row r="11" ht="34" customHeight="1">
      <x:c r="A11" s="3" t="str">
        <x:v>Chiều cao nâng</x:v>
      </x:c>
      <x:c r="B11" s="15" t="n">
        <x:v>12</x:v>
      </x:c>
      <x:c r="C11" s="3" t="str">
        <x:v>m</x:v>
      </x:c>
      <x:c r="D11" s="3" t="str">
        <x:v>Đề bài; không phải hành trình ngang</x:v>
      </x:c>
    </x:row>
    <x:row r="12" ht="34" customHeight="1">
      <x:c r="A12" s="3" t="str">
        <x:v>Đường kính bánh D</x:v>
      </x:c>
      <x:c r="B12" s="9" t="n">
        <x:v>0.25</x:v>
      </x:c>
      <x:c r="C12" s="3" t="str">
        <x:v>m</x:v>
      </x:c>
      <x:c r="D12" s="3" t="str">
        <x:v>SOW_HungNB.docx</x:v>
      </x:c>
    </x:row>
    <x:row r="13" ht="34" customHeight="1">
      <x:c r="A13" s="3" t="str">
        <x:v>Tỷ số truyền i</x:v>
      </x:c>
      <x:c r="B13" s="15" t="n">
        <x:v>100</x:v>
      </x:c>
      <x:c r="C13" s="3" t="str"/>
      <x:c r="D13" s="3" t="str">
        <x:v>Đề xuất</x:v>
      </x:c>
    </x:row>
    <x:row r="14" ht="34" customHeight="1">
      <x:c r="A14" s="3" t="str">
        <x:v>Hiệu suất cơ khí</x:v>
      </x:c>
      <x:c r="B14" s="9" t="n">
        <x:v>0.96</x:v>
      </x:c>
      <x:c r="C14" s="3" t="str"/>
      <x:c r="D14" s="3" t="str">
        <x:v>SOW; kiểm tra catalog</x:v>
      </x:c>
    </x:row>
    <x:row r="15" ht="34" customHeight="1">
      <x:c r="A15" s="3" t="str">
        <x:v>Hệ số dự trữ k</x:v>
      </x:c>
      <x:c r="B15" s="9" t="n">
        <x:v>1.2</x:v>
      </x:c>
      <x:c r="C15" s="3" t="str"/>
      <x:c r="D15" s="3" t="str">
        <x:v>SOW</x:v>
      </x:c>
    </x:row>
    <x:row r="16" ht="34" customHeight="1">
      <x:c r="A16" s="3" t="str">
        <x:v>Gia tốc trọng trường</x:v>
      </x:c>
      <x:c r="B16" s="9" t="n">
        <x:v>9.81</x:v>
      </x:c>
      <x:c r="C16" s="3" t="str">
        <x:v>m/s²</x:v>
      </x:c>
      <x:c r="D16" s="3" t="str">
        <x:v>Hằng số quy ước</x:v>
      </x:c>
    </x:row>
    <x:row r="17" ht="34" customHeight="1">
      <x:c r="A17" s="3" t="str">
        <x:v>Hệ số cản chạy f_r</x:v>
      </x:c>
      <x:c r="B17" s="9" t="n">
        <x:v>0.01</x:v>
      </x:c>
      <x:c r="C17" s="3" t="str"/>
      <x:c r="D17" s="3" t="str">
        <x:v>Giả thiết cản lăn; xem báo cáo mục 2</x:v>
      </x:c>
    </x:row>
    <x:row r="18" ht="34" customHeight="1">
      <x:c r="A18" s="3" t="str">
        <x:v>Hệ số bám μ_b</x:v>
      </x:c>
      <x:c r="B18" s="9" t="n">
        <x:v>0.2</x:v>
      </x:c>
      <x:c r="C18" s="3" t="str"/>
      <x:c r="D18" s="3" t="str">
        <x:v>Giả thiết, phải kiểm tra ray thực</x:v>
      </x:c>
    </x:row>
    <x:row r="19" ht="34" customHeight="1">
      <x:c r="A19" s="3" t="str">
        <x:v>Tỷ lệ tải bánh chủ động</x:v>
      </x:c>
      <x:c r="B19" s="9" t="n">
        <x:v>0.5</x:v>
      </x:c>
      <x:c r="C19" s="3" t="str"/>
      <x:c r="D19" s="3" t="str">
        <x:v>Hai bánh chịu 50% tải, giả thiết</x:v>
      </x:c>
    </x:row>
    <x:row r="20" ht="34" customHeight="1">
      <x:c r="A20" s="3" t="str">
        <x:v>Quán tính phần quay J_rot</x:v>
      </x:c>
      <x:c r="B20" s="9" t="n">
        <x:v>0.015</x:v>
      </x:c>
      <x:c r="C20" s="3" t="str">
        <x:v>kg·m²</x:v>
      </x:c>
      <x:c r="D20" s="3" t="str">
        <x:v>Ngân sách quán tính quy về motor; phải xác minh</x:v>
      </x:c>
    </x:row>
    <x:row r="21" ht="34" customHeight="1">
      <x:c r="A21" s="3" t="str">
        <x:v>Công suất motor đề xuất</x:v>
      </x:c>
      <x:c r="B21" s="9" t="n">
        <x:v>2.2</x:v>
      </x:c>
      <x:c r="C21" s="3" t="str">
        <x:v>kW</x:v>
      </x:c>
      <x:c r="D21" s="3" t="str">
        <x:v>Đề xuất sơ bộ</x:v>
      </x:c>
    </x:row>
    <x:row r="22" ht="34" customHeight="1">
      <x:c r="A22" s="3" t="str">
        <x:v>Tốc độ danh định motor</x:v>
      </x:c>
      <x:c r="B22" s="15" t="n">
        <x:v>960</x:v>
      </x:c>
      <x:c r="C22" s="3" t="str">
        <x:v>vòng/phút</x:v>
      </x:c>
      <x:c r="D22" s="3" t="str">
        <x:v>Giả định để chọn 6 cực</x:v>
      </x:c>
    </x:row>
    <x:row r="23" ht="34" customHeight="1">
      <x:c r="A23" s="3" t="str">
        <x:v>Thời gian tăng/giảm tốc Ta</x:v>
      </x:c>
      <x:c r="B23" s="9" t="n">
        <x:v>2</x:v>
      </x:c>
      <x:c r="C23" s="3" t="str">
        <x:v>s</x:v>
      </x:c>
      <x:c r="D23" s="3" t="str">
        <x:v>Đề xuất quỹ đạo thường</x:v>
      </x:c>
    </x:row>
    <x:row r="24" ht="34" customHeight="1">
      <x:c r="A24" s="3" t="str">
        <x:v>Thời gian jerk tj</x:v>
      </x:c>
      <x:c r="B24" s="9" t="n">
        <x:v>0.25</x:v>
      </x:c>
      <x:c r="C24" s="3" t="str">
        <x:v>s</x:v>
      </x:c>
      <x:c r="D24" s="3" t="str">
        <x:v>Đề xuất quỹ đạo thường</x:v>
      </x:c>
    </x:row>
    <x:row r="25" ht="34" customHeight="1">
      <x:c r="A25" s="3" t="str">
        <x:v>Hành trình ngang minh họa L</x:v>
      </x:c>
      <x:c r="B25" s="9" t="n">
        <x:v>9</x:v>
      </x:c>
      <x:c r="C25" s="3" t="str">
        <x:v>m</x:v>
      </x:c>
      <x:c r="D25" s="3" t="str">
        <x:v>Excel khóa trước; không phải chiều cao nâng</x:v>
      </x:c>
    </x:row>
    <x:row r="26" ht="34" customHeight="1">
      <x:c r="A26" s="3" t="str">
        <x:v>Thời gian nghỉ mỗi đầu</x:v>
      </x:c>
      <x:c r="B26" s="9" t="n">
        <x:v>30</x:v>
      </x:c>
      <x:c r="C26" s="3" t="str">
        <x:v>s</x:v>
      </x:c>
      <x:c r="D26" s="3" t="str">
        <x:v>Giả thiết chu kỳ</x:v>
      </x:c>
    </x:row>
    <x:row r="27" ht="34" customHeight="1">
      <x:c r="A27" s="3" t="str">
        <x:v>Số bánh chịu tải</x:v>
      </x:c>
      <x:c r="B27" s="15" t="n">
        <x:v>4</x:v>
      </x:c>
      <x:c r="C27" s="3" t="str"/>
      <x:c r="D27" s="3" t="str">
        <x:v>Giả thiết phân bố đều</x:v>
      </x:c>
    </x:row>
    <x:row r="28" ht="34" customHeight="1">
      <x:c r="A28" s="3" t="str">
        <x:v>Hệ số phân bố tải bánh</x:v>
      </x:c>
      <x:c r="B28" s="9" t="n">
        <x:v>1.25</x:v>
      </x:c>
      <x:c r="C28" s="3" t="str"/>
      <x:c r="D28" s="3" t="str">
        <x:v>Giả thiết thiết kế sơ bộ</x:v>
      </x:c>
    </x:row>
    <x:row r="29" ht="34" customHeight="1">
      <x:c r="A29" s="3"/>
      <x:c r="B29" s="7"/>
      <x:c r="C29" s="3"/>
      <x:c r="D29" s="3"/>
    </x:row>
    <x:row r="30" ht="34" customHeight="1">
      <x:c r="A30" s="10" t="str">
        <x:v>Nguồn tham khảo và giới hạn mô hình</x:v>
      </x:c>
      <x:c r="B30" s="11"/>
      <x:c r="C30" s="10"/>
      <x:c r="D30" s="10"/>
    </x:row>
    <x:row r="31" ht="46" customHeight="1">
      <x:c r="A31" s="3" t="str">
        <x:v>SYSTEM ARCHITECTURE – CRANE TROLLEY DRIVE SYSTEM.txt: tham khảo cấu trúc, không sao chép định mức.</x:v>
      </x:c>
      <x:c r="B31" s="7"/>
      <x:c r="C31" s="3"/>
      <x:c r="D31" s="3"/>
    </x:row>
    <x:row r="32" ht="46" customHeight="1">
      <x:c r="A32" s="3" t="str">
        <x:v>Tính toán thông số động cơ.xlsx: tab a=1; lực cản 0,2 chỉ để đối chiếu ở Ket_qua.</x:v>
      </x:c>
      <x:c r="B32" s="7"/>
      <x:c r="C32" s="3"/>
      <x:c r="D32" s="3"/>
    </x:row>
    <x:row r="33" ht="46" customHeight="1">
      <x:c r="A33" s="3" t="str">
        <x:v>SOW_HungNB.docx: D=0,25 m, η=0,96, k=1,2; không thiết kế nâng hạ.</x:v>
      </x:c>
      <x:c r="B33" s="7"/>
      <x:c r="C33" s="3"/>
      <x:c r="D33" s="3"/>
    </x:row>
    <x:row r="34" ht="46" customHeight="1">
      <x:c r="A34" s="3" t="str">
        <x:v>SEW Project Planning for Drives, mục 7.4 và 8: https://download.sew-eurodrive.com/download/pdf/10522913.pdf</x:v>
      </x:c>
      <x:c r="B34" s="7"/>
      <x:c r="C34" s="3"/>
      <x:c r="D34" s="3"/>
    </x:row>
    <x:row r="35" ht="46" customHeight="1">
      <x:c r="A35" s="3" t="str">
        <x:v>Cản lăn và hệ số bám là hai đại lượng khác nhau. Kiểm tra tải lệch, ray dốc và dây cấp điện trước khi chốt.</x:v>
      </x:c>
      <x:c r="B35" s="7"/>
      <x:c r="C35" s="3"/>
      <x:c r="D35" s="3"/>
    </x:row>
    <x:row r="36" ht="46" customHeight="1">
      <x:c r="A36" s="3" t="str">
        <x:v>M_RMS áp dụng quỹ đạo đối xứng với lực tại bánh còn cùng chiều chuyển động khi giảm tốc; không thay kiểm tra nhiệt catalog.</x:v>
      </x:c>
      <x:c r="B36" s="7"/>
      <x:c r="C36" s="3"/>
      <x:c r="D36" s="3"/>
    </x:row>
    <x:row r="37" ht="46" customHeight="1">
      <x:c r="A37" s="3" t="str">
        <x:v>Không điền khối lượng toàn xe vào m_x nếu đã chứa m_h; tránh tính trùng 222 kg.</x:v>
      </x:c>
      <x:c r="B37" s="7"/>
      <x:c r="C37" s="3"/>
      <x:c r="D37" s="3"/>
    </x:row>
    <x:row r="38">
      <x:c r="B38" s="8"/>
    </x:row>
    <x:row r="39">
      <x:c r="B39" s="8"/>
    </x:row>
    <x:row r="40">
      <x:c r="B40" s="8"/>
    </x:row>
    <x:row r="41">
      <x:c r="B41" s="8"/>
    </x:row>
    <x:row r="42">
      <x:c r="B42" s="8"/>
    </x:row>
    <x:row r="43">
      <x:c r="B43" s="8"/>
    </x:row>
    <x:row r="44">
      <x:c r="B44" s="8"/>
    </x:row>
  </x:sheetData>
  <x:mergeCells>
    <x:mergeCell ref="A1:D1"/>
    <x:mergeCell ref="A2:D2"/>
    <x:mergeCell ref="A30:D30"/>
    <x:mergeCell ref="A31:D31"/>
    <x:mergeCell ref="A32:D32"/>
    <x:mergeCell ref="A33:D33"/>
    <x:mergeCell ref="A34:D34"/>
    <x:mergeCell ref="A35:D35"/>
    <x:mergeCell ref="A36:D36"/>
    <x:mergeCell ref="A37:D37"/>
  </x:mergeCells>
  <x:dataValidations count="24">
    <x:dataValidation type="decimal" operator="greaterThanOrEqual" sqref="B5">
      <x:formula1>0.000001</x:formula1>
    </x:dataValidation>
    <x:dataValidation type="decimal" operator="greaterThanOrEqual" sqref="B6">
      <x:formula1>0.000001</x:formula1>
    </x:dataValidation>
    <x:dataValidation type="decimal" operator="greaterThanOrEqual" sqref="B7">
      <x:formula1>0</x:formula1>
    </x:dataValidation>
    <x:dataValidation type="decimal" operator="greaterThanOrEqual" sqref="B8">
      <x:formula1>0.000001</x:formula1>
    </x:dataValidation>
    <x:dataValidation type="decimal" operator="greaterThanOrEqual" sqref="B9">
      <x:formula1>0.000001</x:formula1>
    </x:dataValidation>
    <x:dataValidation type="decimal" operator="greaterThanOrEqual" sqref="B10">
      <x:formula1>0.000001</x:formula1>
    </x:dataValidation>
    <x:dataValidation type="decimal" operator="greaterThanOrEqual" sqref="B11">
      <x:formula1>0.000001</x:formula1>
    </x:dataValidation>
    <x:dataValidation type="decimal" operator="greaterThanOrEqual" sqref="B12">
      <x:formula1>0.000001</x:formula1>
    </x:dataValidation>
    <x:dataValidation type="decimal" operator="greaterThanOrEqual" sqref="B13">
      <x:formula1>0.000001</x:formula1>
    </x:dataValidation>
    <x:dataValidation type="decimal" operator="between" sqref="B14">
      <x:formula1>0.000001</x:formula1>
      <x:formula2>1</x:formula2>
    </x:dataValidation>
    <x:dataValidation type="decimal" operator="greaterThanOrEqual" sqref="B15">
      <x:formula1>0.000001</x:formula1>
    </x:dataValidation>
    <x:dataValidation type="decimal" operator="greaterThanOrEqual" sqref="B16">
      <x:formula1>0.000001</x:formula1>
    </x:dataValidation>
    <x:dataValidation type="decimal" operator="greaterThanOrEqual" sqref="B17">
      <x:formula1>0.000001</x:formula1>
    </x:dataValidation>
    <x:dataValidation type="decimal" operator="between" sqref="B18">
      <x:formula1>0.000001</x:formula1>
      <x:formula2>1</x:formula2>
    </x:dataValidation>
    <x:dataValidation type="decimal" operator="between" sqref="B19">
      <x:formula1>0.000001</x:formula1>
      <x:formula2>1</x:formula2>
    </x:dataValidation>
    <x:dataValidation type="decimal" operator="greaterThanOrEqual" sqref="B20">
      <x:formula1>0</x:formula1>
    </x:dataValidation>
    <x:dataValidation type="decimal" operator="greaterThanOrEqual" sqref="B21">
      <x:formula1>0.000001</x:formula1>
    </x:dataValidation>
    <x:dataValidation type="decimal" operator="greaterThanOrEqual" sqref="B22">
      <x:formula1>0.000001</x:formula1>
    </x:dataValidation>
    <x:dataValidation type="decimal" operator="greaterThanOrEqual" sqref="B23">
      <x:formula1>0.000001</x:formula1>
    </x:dataValidation>
    <x:dataValidation type="decimal" operator="greaterThanOrEqual" sqref="B24">
      <x:formula1>0.000001</x:formula1>
    </x:dataValidation>
    <x:dataValidation type="decimal" operator="greaterThanOrEqual" sqref="B25">
      <x:formula1>0.000001</x:formula1>
    </x:dataValidation>
    <x:dataValidation type="decimal" operator="greaterThanOrEqual" sqref="B26">
      <x:formula1>0</x:formula1>
    </x:dataValidation>
    <x:dataValidation type="decimal" operator="greaterThanOrEqual" sqref="B27">
      <x:formula1>0.000001</x:formula1>
    </x:dataValidation>
    <x:dataValidation type="decimal" operator="greaterThanOrEqual" sqref="B28">
      <x:formula1>0.000001</x:formula1>
    </x:dataValidation>
  </x:dataValidations>
  <x:pageMargins left="0.7" right="0.7" top="0.75" bottom="0.75" header="0.3" footer="0.3"/>
</x:worksheet>
</file>