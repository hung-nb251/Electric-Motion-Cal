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guy\OneDrive\Desktop\Tài liệu học tập\EE4332-20261\EM Project\outputs\bao_cao_xe_con\"/>
    </mc:Choice>
  </mc:AlternateContent>
  <xr:revisionPtr revIDLastSave="0" documentId="13_ncr:1_{9C391453-350E-4FBF-9FA3-D784DF0B75ED}" xr6:coauthVersionLast="47" xr6:coauthVersionMax="47" xr10:uidLastSave="{00000000-0000-0000-0000-000000000000}"/>
  <bookViews>
    <workbookView xWindow="14295" yWindow="0" windowWidth="14610" windowHeight="15585" firstSheet="1" activeTab="1" xr2:uid="{00000000-000D-0000-FFFF-FFFF00000000}"/>
  </bookViews>
  <sheets>
    <sheet name="Tính toán chi tiết động cơ  (2)" sheetId="5" r:id="rId1"/>
    <sheet name="Tinh_toan_x2" sheetId="1" r:id="rId2"/>
    <sheet name="Chu_ky" sheetId="2" r:id="rId3"/>
    <sheet name="Do_thi" sheetId="3" r:id="rId4"/>
    <sheet name="Thiet_bi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C43" i="1"/>
  <c r="C44" i="1"/>
  <c r="E6" i="1"/>
  <c r="M35" i="5"/>
  <c r="M36" i="5" s="1"/>
  <c r="M37" i="5"/>
  <c r="M38" i="5"/>
  <c r="C42" i="5"/>
  <c r="C44" i="5"/>
  <c r="C45" i="5"/>
  <c r="B18" i="4" l="1"/>
  <c r="B16" i="4"/>
  <c r="B15" i="4"/>
  <c r="B9" i="4"/>
  <c r="B6" i="4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B19" i="2"/>
  <c r="D93" i="2" s="1"/>
  <c r="E18" i="2"/>
  <c r="B18" i="2"/>
  <c r="B17" i="2"/>
  <c r="E16" i="2"/>
  <c r="B15" i="2"/>
  <c r="E14" i="2"/>
  <c r="G104" i="3" s="1"/>
  <c r="B14" i="2"/>
  <c r="D75" i="2" s="1"/>
  <c r="B13" i="2"/>
  <c r="D71" i="2" s="1"/>
  <c r="E12" i="2"/>
  <c r="B12" i="2"/>
  <c r="D65" i="2" s="1"/>
  <c r="B11" i="2"/>
  <c r="D60" i="2" s="1"/>
  <c r="E10" i="2"/>
  <c r="B10" i="2"/>
  <c r="D58" i="2" s="1"/>
  <c r="B9" i="2"/>
  <c r="D52" i="2" s="1"/>
  <c r="E8" i="2"/>
  <c r="B8" i="2"/>
  <c r="D48" i="2" s="1"/>
  <c r="B7" i="2"/>
  <c r="D46" i="2" s="1"/>
  <c r="E6" i="2"/>
  <c r="B6" i="2"/>
  <c r="D40" i="2" s="1"/>
  <c r="B5" i="2"/>
  <c r="H6" i="2" s="1"/>
  <c r="B10" i="4"/>
  <c r="M26" i="1"/>
  <c r="B16" i="2" s="1"/>
  <c r="D81" i="2" s="1"/>
  <c r="E9" i="1"/>
  <c r="M21" i="1" s="1"/>
  <c r="E8" i="1"/>
  <c r="E7" i="1"/>
  <c r="C12" i="2" s="1"/>
  <c r="E65" i="2" l="1"/>
  <c r="B69" i="2"/>
  <c r="H7" i="2"/>
  <c r="A37" i="3" s="1"/>
  <c r="M27" i="1"/>
  <c r="M28" i="1" s="1"/>
  <c r="C18" i="2"/>
  <c r="D69" i="2"/>
  <c r="C8" i="2"/>
  <c r="B51" i="2"/>
  <c r="D51" i="2"/>
  <c r="E9" i="2"/>
  <c r="G51" i="3" s="1"/>
  <c r="M41" i="1"/>
  <c r="B93" i="2"/>
  <c r="B45" i="2"/>
  <c r="B63" i="2"/>
  <c r="D45" i="2"/>
  <c r="D63" i="2"/>
  <c r="J12" i="2"/>
  <c r="B57" i="2"/>
  <c r="D57" i="2"/>
  <c r="B82" i="3"/>
  <c r="M6" i="1"/>
  <c r="M42" i="1"/>
  <c r="C9" i="2"/>
  <c r="M24" i="1"/>
  <c r="M32" i="1"/>
  <c r="M22" i="1"/>
  <c r="M23" i="1" s="1"/>
  <c r="M30" i="1"/>
  <c r="M31" i="1" s="1"/>
  <c r="E18" i="1"/>
  <c r="G46" i="3"/>
  <c r="G43" i="3"/>
  <c r="G44" i="3"/>
  <c r="G47" i="3"/>
  <c r="G42" i="3"/>
  <c r="G39" i="3"/>
  <c r="G45" i="3"/>
  <c r="G40" i="3"/>
  <c r="G48" i="3"/>
  <c r="G41" i="3"/>
  <c r="G38" i="3"/>
  <c r="C15" i="2"/>
  <c r="B75" i="2"/>
  <c r="E21" i="1"/>
  <c r="E22" i="1" s="1"/>
  <c r="E23" i="1" s="1"/>
  <c r="E28" i="1" s="1"/>
  <c r="C7" i="2"/>
  <c r="E7" i="2"/>
  <c r="D84" i="2"/>
  <c r="B84" i="2"/>
  <c r="D85" i="2"/>
  <c r="B85" i="2"/>
  <c r="D86" i="2"/>
  <c r="B86" i="2"/>
  <c r="C13" i="2"/>
  <c r="C5" i="2"/>
  <c r="E54" i="1"/>
  <c r="E55" i="1" s="1"/>
  <c r="C6" i="2"/>
  <c r="G91" i="3"/>
  <c r="G88" i="3"/>
  <c r="G85" i="3"/>
  <c r="G82" i="3"/>
  <c r="F87" i="3"/>
  <c r="C87" i="3" s="1"/>
  <c r="E87" i="3" s="1"/>
  <c r="F85" i="3"/>
  <c r="C85" i="3" s="1"/>
  <c r="E85" i="3" s="1"/>
  <c r="G83" i="3"/>
  <c r="F83" i="3"/>
  <c r="C83" i="3" s="1"/>
  <c r="E83" i="3" s="1"/>
  <c r="G92" i="3"/>
  <c r="F92" i="3"/>
  <c r="C92" i="3" s="1"/>
  <c r="E92" i="3" s="1"/>
  <c r="G90" i="3"/>
  <c r="F90" i="3"/>
  <c r="C90" i="3" s="1"/>
  <c r="E90" i="3" s="1"/>
  <c r="F88" i="3"/>
  <c r="C88" i="3" s="1"/>
  <c r="E88" i="3" s="1"/>
  <c r="G86" i="3"/>
  <c r="F86" i="3"/>
  <c r="C86" i="3" s="1"/>
  <c r="E86" i="3" s="1"/>
  <c r="G84" i="3"/>
  <c r="F84" i="3"/>
  <c r="C84" i="3" s="1"/>
  <c r="E84" i="3" s="1"/>
  <c r="F82" i="3"/>
  <c r="C82" i="3" s="1"/>
  <c r="E82" i="3" s="1"/>
  <c r="F91" i="3"/>
  <c r="C91" i="3" s="1"/>
  <c r="E91" i="3" s="1"/>
  <c r="G89" i="3"/>
  <c r="F65" i="2"/>
  <c r="G65" i="2" s="1"/>
  <c r="H65" i="2" s="1"/>
  <c r="F89" i="3"/>
  <c r="C89" i="3" s="1"/>
  <c r="E89" i="3" s="1"/>
  <c r="G87" i="3"/>
  <c r="I12" i="2"/>
  <c r="N12" i="2" s="1"/>
  <c r="D72" i="2"/>
  <c r="B72" i="2"/>
  <c r="D73" i="2"/>
  <c r="B73" i="2"/>
  <c r="D74" i="2"/>
  <c r="B74" i="2"/>
  <c r="C17" i="2"/>
  <c r="E13" i="2"/>
  <c r="B102" i="3" s="1"/>
  <c r="E19" i="2"/>
  <c r="E17" i="2"/>
  <c r="E15" i="2"/>
  <c r="G24" i="3"/>
  <c r="G21" i="3"/>
  <c r="G18" i="3"/>
  <c r="G25" i="3"/>
  <c r="G22" i="3"/>
  <c r="G19" i="3"/>
  <c r="G16" i="3"/>
  <c r="G17" i="3"/>
  <c r="G26" i="3"/>
  <c r="G20" i="3"/>
  <c r="A34" i="3"/>
  <c r="A30" i="3"/>
  <c r="C14" i="2"/>
  <c r="B81" i="2"/>
  <c r="M9" i="1"/>
  <c r="C11" i="2"/>
  <c r="D94" i="2"/>
  <c r="B94" i="2"/>
  <c r="D95" i="2"/>
  <c r="B95" i="2"/>
  <c r="D92" i="2"/>
  <c r="B92" i="2"/>
  <c r="G23" i="3"/>
  <c r="D76" i="2"/>
  <c r="B76" i="2"/>
  <c r="D77" i="2"/>
  <c r="B77" i="2"/>
  <c r="D78" i="2"/>
  <c r="B78" i="2"/>
  <c r="D79" i="2"/>
  <c r="B79" i="2"/>
  <c r="M12" i="1"/>
  <c r="E11" i="2"/>
  <c r="K12" i="2"/>
  <c r="D82" i="2"/>
  <c r="B82" i="2"/>
  <c r="D83" i="2"/>
  <c r="B83" i="2"/>
  <c r="D80" i="2"/>
  <c r="B80" i="2"/>
  <c r="C19" i="2"/>
  <c r="M35" i="1"/>
  <c r="B20" i="4" s="1"/>
  <c r="B21" i="4" s="1"/>
  <c r="A25" i="3"/>
  <c r="A22" i="3"/>
  <c r="A19" i="3"/>
  <c r="A16" i="3"/>
  <c r="A26" i="3"/>
  <c r="A23" i="3"/>
  <c r="A20" i="3"/>
  <c r="A17" i="3"/>
  <c r="A24" i="3"/>
  <c r="A21" i="3"/>
  <c r="A18" i="3"/>
  <c r="A13" i="3"/>
  <c r="A10" i="3"/>
  <c r="A7" i="3"/>
  <c r="A14" i="3"/>
  <c r="A11" i="3"/>
  <c r="A8" i="3"/>
  <c r="A15" i="3"/>
  <c r="A12" i="3"/>
  <c r="A9" i="3"/>
  <c r="D36" i="2"/>
  <c r="B36" i="2"/>
  <c r="B22" i="2"/>
  <c r="A5" i="3"/>
  <c r="D37" i="2"/>
  <c r="B37" i="2"/>
  <c r="D38" i="2"/>
  <c r="B38" i="2"/>
  <c r="C10" i="2"/>
  <c r="C16" i="2"/>
  <c r="B39" i="2"/>
  <c r="B87" i="2"/>
  <c r="A6" i="3"/>
  <c r="D88" i="2"/>
  <c r="B88" i="2"/>
  <c r="D89" i="2"/>
  <c r="B89" i="2"/>
  <c r="D90" i="2"/>
  <c r="B90" i="2"/>
  <c r="D91" i="2"/>
  <c r="B91" i="2"/>
  <c r="M15" i="1"/>
  <c r="M16" i="1" s="1"/>
  <c r="E5" i="2"/>
  <c r="B15" i="3" s="1"/>
  <c r="G70" i="3"/>
  <c r="G67" i="3"/>
  <c r="G64" i="3"/>
  <c r="G61" i="3"/>
  <c r="G66" i="3"/>
  <c r="G69" i="3"/>
  <c r="G62" i="3"/>
  <c r="G65" i="3"/>
  <c r="G60" i="3"/>
  <c r="G63" i="3"/>
  <c r="G68" i="3"/>
  <c r="D39" i="2"/>
  <c r="D87" i="2"/>
  <c r="B44" i="2"/>
  <c r="B50" i="2"/>
  <c r="B56" i="2"/>
  <c r="B62" i="2"/>
  <c r="B68" i="2"/>
  <c r="D44" i="2"/>
  <c r="D50" i="2"/>
  <c r="D56" i="2"/>
  <c r="D62" i="2"/>
  <c r="D68" i="2"/>
  <c r="B43" i="2"/>
  <c r="B49" i="2"/>
  <c r="B55" i="2"/>
  <c r="B61" i="2"/>
  <c r="B67" i="2"/>
  <c r="D43" i="2"/>
  <c r="D49" i="2"/>
  <c r="D55" i="2"/>
  <c r="D61" i="2"/>
  <c r="D67" i="2"/>
  <c r="E67" i="2" s="1"/>
  <c r="B42" i="2"/>
  <c r="B48" i="2"/>
  <c r="B54" i="2"/>
  <c r="B60" i="2"/>
  <c r="B66" i="2"/>
  <c r="D42" i="2"/>
  <c r="D54" i="2"/>
  <c r="D66" i="2"/>
  <c r="E66" i="2" s="1"/>
  <c r="B41" i="2"/>
  <c r="B47" i="2"/>
  <c r="B53" i="2"/>
  <c r="B59" i="2"/>
  <c r="B65" i="2"/>
  <c r="B71" i="2"/>
  <c r="D41" i="2"/>
  <c r="D47" i="2"/>
  <c r="D53" i="2"/>
  <c r="D59" i="2"/>
  <c r="G112" i="3"/>
  <c r="G109" i="3"/>
  <c r="G106" i="3"/>
  <c r="G113" i="3"/>
  <c r="G111" i="3"/>
  <c r="G107" i="3"/>
  <c r="G105" i="3"/>
  <c r="G114" i="3"/>
  <c r="G110" i="3"/>
  <c r="G108" i="3"/>
  <c r="G136" i="3"/>
  <c r="G133" i="3"/>
  <c r="G130" i="3"/>
  <c r="G127" i="3"/>
  <c r="G134" i="3"/>
  <c r="G132" i="3"/>
  <c r="G128" i="3"/>
  <c r="G126" i="3"/>
  <c r="G135" i="3"/>
  <c r="G131" i="3"/>
  <c r="G129" i="3"/>
  <c r="G157" i="3"/>
  <c r="G154" i="3"/>
  <c r="G151" i="3"/>
  <c r="G148" i="3"/>
  <c r="G158" i="3"/>
  <c r="G155" i="3"/>
  <c r="G152" i="3"/>
  <c r="G153" i="3"/>
  <c r="G149" i="3"/>
  <c r="G150" i="3"/>
  <c r="G156" i="3"/>
  <c r="B91" i="3"/>
  <c r="B89" i="3"/>
  <c r="B87" i="3"/>
  <c r="B85" i="3"/>
  <c r="B83" i="3"/>
  <c r="B92" i="3"/>
  <c r="B90" i="3"/>
  <c r="B88" i="3"/>
  <c r="B86" i="3"/>
  <c r="B84" i="3"/>
  <c r="B40" i="2"/>
  <c r="B46" i="2"/>
  <c r="B52" i="2"/>
  <c r="B58" i="2"/>
  <c r="B64" i="2"/>
  <c r="B70" i="2"/>
  <c r="D64" i="2"/>
  <c r="D70" i="2"/>
  <c r="M13" i="1" l="1"/>
  <c r="A27" i="3"/>
  <c r="A33" i="3"/>
  <c r="D82" i="3"/>
  <c r="A36" i="3"/>
  <c r="E70" i="2"/>
  <c r="A29" i="3"/>
  <c r="A32" i="3"/>
  <c r="B96" i="3"/>
  <c r="A35" i="3"/>
  <c r="B98" i="3"/>
  <c r="A28" i="3"/>
  <c r="E39" i="2"/>
  <c r="A31" i="3"/>
  <c r="H8" i="2"/>
  <c r="A43" i="3" s="1"/>
  <c r="G59" i="3"/>
  <c r="G49" i="3"/>
  <c r="G52" i="3"/>
  <c r="G58" i="3"/>
  <c r="G55" i="3"/>
  <c r="G56" i="3"/>
  <c r="B100" i="3"/>
  <c r="G53" i="3"/>
  <c r="G50" i="3"/>
  <c r="G54" i="3"/>
  <c r="M25" i="1"/>
  <c r="M33" i="1"/>
  <c r="D91" i="3"/>
  <c r="D87" i="3"/>
  <c r="F66" i="2"/>
  <c r="G66" i="2" s="1"/>
  <c r="H66" i="2" s="1"/>
  <c r="K66" i="2" s="1"/>
  <c r="G57" i="3"/>
  <c r="D89" i="3"/>
  <c r="D92" i="3"/>
  <c r="D83" i="3"/>
  <c r="D85" i="3"/>
  <c r="D84" i="3"/>
  <c r="B11" i="3"/>
  <c r="D88" i="3"/>
  <c r="D90" i="3"/>
  <c r="M7" i="1"/>
  <c r="M8" i="1" s="1"/>
  <c r="M10" i="1" s="1"/>
  <c r="M17" i="1"/>
  <c r="M18" i="1" s="1"/>
  <c r="B7" i="3"/>
  <c r="B14" i="3"/>
  <c r="G79" i="3"/>
  <c r="G76" i="3"/>
  <c r="G73" i="3"/>
  <c r="G81" i="3"/>
  <c r="G77" i="3"/>
  <c r="G75" i="3"/>
  <c r="G71" i="3"/>
  <c r="G80" i="3"/>
  <c r="G78" i="3"/>
  <c r="G74" i="3"/>
  <c r="G72" i="3"/>
  <c r="G103" i="3"/>
  <c r="G100" i="3"/>
  <c r="G97" i="3"/>
  <c r="G94" i="3"/>
  <c r="G102" i="3"/>
  <c r="F102" i="3"/>
  <c r="C102" i="3" s="1"/>
  <c r="E102" i="3" s="1"/>
  <c r="D102" i="3" s="1"/>
  <c r="F100" i="3"/>
  <c r="C100" i="3" s="1"/>
  <c r="E100" i="3" s="1"/>
  <c r="G98" i="3"/>
  <c r="F98" i="3"/>
  <c r="C98" i="3" s="1"/>
  <c r="E98" i="3" s="1"/>
  <c r="G96" i="3"/>
  <c r="F96" i="3"/>
  <c r="C96" i="3" s="1"/>
  <c r="E96" i="3" s="1"/>
  <c r="F94" i="3"/>
  <c r="C94" i="3" s="1"/>
  <c r="E94" i="3" s="1"/>
  <c r="F103" i="3"/>
  <c r="C103" i="3" s="1"/>
  <c r="E103" i="3" s="1"/>
  <c r="G101" i="3"/>
  <c r="F101" i="3"/>
  <c r="C101" i="3" s="1"/>
  <c r="E101" i="3" s="1"/>
  <c r="G99" i="3"/>
  <c r="F99" i="3"/>
  <c r="C99" i="3" s="1"/>
  <c r="E99" i="3" s="1"/>
  <c r="F97" i="3"/>
  <c r="C97" i="3" s="1"/>
  <c r="E97" i="3" s="1"/>
  <c r="G95" i="3"/>
  <c r="F95" i="3"/>
  <c r="C95" i="3" s="1"/>
  <c r="E95" i="3" s="1"/>
  <c r="G93" i="3"/>
  <c r="F93" i="3"/>
  <c r="C93" i="3" s="1"/>
  <c r="E93" i="3" s="1"/>
  <c r="F71" i="2"/>
  <c r="G71" i="2" s="1"/>
  <c r="H71" i="2" s="1"/>
  <c r="F68" i="2"/>
  <c r="G68" i="2" s="1"/>
  <c r="H68" i="2" s="1"/>
  <c r="F69" i="2"/>
  <c r="G69" i="2" s="1"/>
  <c r="H69" i="2" s="1"/>
  <c r="F70" i="2"/>
  <c r="G70" i="2" s="1"/>
  <c r="H70" i="2" s="1"/>
  <c r="J13" i="2"/>
  <c r="G14" i="2" s="1"/>
  <c r="I13" i="2"/>
  <c r="F14" i="2" s="1"/>
  <c r="K65" i="2"/>
  <c r="I65" i="2"/>
  <c r="J65" i="2" s="1"/>
  <c r="B93" i="3"/>
  <c r="E69" i="2"/>
  <c r="B95" i="3"/>
  <c r="E38" i="2"/>
  <c r="B9" i="3"/>
  <c r="B10" i="3"/>
  <c r="D86" i="3"/>
  <c r="B12" i="3"/>
  <c r="E37" i="2"/>
  <c r="E57" i="1"/>
  <c r="E19" i="1"/>
  <c r="E20" i="1" s="1"/>
  <c r="E29" i="1" s="1"/>
  <c r="E36" i="2"/>
  <c r="G36" i="3"/>
  <c r="G33" i="3"/>
  <c r="G30" i="3"/>
  <c r="G27" i="3"/>
  <c r="G37" i="3"/>
  <c r="G34" i="3"/>
  <c r="G31" i="3"/>
  <c r="G28" i="3"/>
  <c r="G35" i="3"/>
  <c r="G32" i="3"/>
  <c r="G29" i="3"/>
  <c r="B99" i="3"/>
  <c r="E71" i="2"/>
  <c r="F14" i="3"/>
  <c r="C14" i="3" s="1"/>
  <c r="E14" i="3" s="1"/>
  <c r="F11" i="3"/>
  <c r="C11" i="3" s="1"/>
  <c r="E11" i="3" s="1"/>
  <c r="F8" i="3"/>
  <c r="C8" i="3" s="1"/>
  <c r="E8" i="3" s="1"/>
  <c r="G15" i="3"/>
  <c r="G12" i="3"/>
  <c r="G9" i="3"/>
  <c r="F15" i="3"/>
  <c r="C15" i="3" s="1"/>
  <c r="E15" i="3" s="1"/>
  <c r="D15" i="3" s="1"/>
  <c r="F12" i="3"/>
  <c r="C12" i="3" s="1"/>
  <c r="E12" i="3" s="1"/>
  <c r="F9" i="3"/>
  <c r="C9" i="3" s="1"/>
  <c r="E9" i="3" s="1"/>
  <c r="G13" i="3"/>
  <c r="G10" i="3"/>
  <c r="G7" i="3"/>
  <c r="F13" i="3"/>
  <c r="C13" i="3" s="1"/>
  <c r="E13" i="3" s="1"/>
  <c r="F10" i="3"/>
  <c r="C10" i="3" s="1"/>
  <c r="E10" i="3" s="1"/>
  <c r="F7" i="3"/>
  <c r="C7" i="3" s="1"/>
  <c r="E7" i="3" s="1"/>
  <c r="D7" i="3" s="1"/>
  <c r="G5" i="3"/>
  <c r="G11" i="3"/>
  <c r="F5" i="3"/>
  <c r="C5" i="3" s="1"/>
  <c r="E5" i="3" s="1"/>
  <c r="F36" i="2"/>
  <c r="G36" i="2" s="1"/>
  <c r="H36" i="2" s="1"/>
  <c r="F37" i="2"/>
  <c r="G37" i="2" s="1"/>
  <c r="H37" i="2" s="1"/>
  <c r="G6" i="3"/>
  <c r="F38" i="2"/>
  <c r="G38" i="2" s="1"/>
  <c r="H38" i="2" s="1"/>
  <c r="G14" i="3"/>
  <c r="F6" i="3"/>
  <c r="C6" i="3" s="1"/>
  <c r="E6" i="3" s="1"/>
  <c r="F39" i="2"/>
  <c r="G39" i="2" s="1"/>
  <c r="H39" i="2" s="1"/>
  <c r="B29" i="2"/>
  <c r="K5" i="2"/>
  <c r="G8" i="3"/>
  <c r="I5" i="2"/>
  <c r="F6" i="2" s="1"/>
  <c r="J5" i="2"/>
  <c r="G6" i="2" s="1"/>
  <c r="B97" i="3"/>
  <c r="B101" i="3"/>
  <c r="K13" i="2"/>
  <c r="E60" i="1"/>
  <c r="G169" i="3"/>
  <c r="G166" i="3"/>
  <c r="G163" i="3"/>
  <c r="G160" i="3"/>
  <c r="G167" i="3"/>
  <c r="G164" i="3"/>
  <c r="G161" i="3"/>
  <c r="G168" i="3"/>
  <c r="G159" i="3"/>
  <c r="G165" i="3"/>
  <c r="G162" i="3"/>
  <c r="B13" i="3"/>
  <c r="F64" i="2"/>
  <c r="G64" i="2" s="1"/>
  <c r="H64" i="2" s="1"/>
  <c r="E64" i="2"/>
  <c r="B103" i="3"/>
  <c r="B6" i="3"/>
  <c r="G124" i="3"/>
  <c r="G121" i="3"/>
  <c r="G118" i="3"/>
  <c r="G115" i="3"/>
  <c r="G119" i="3"/>
  <c r="G117" i="3"/>
  <c r="G122" i="3"/>
  <c r="G120" i="3"/>
  <c r="G116" i="3"/>
  <c r="G125" i="3"/>
  <c r="G123" i="3"/>
  <c r="B94" i="3"/>
  <c r="E68" i="2"/>
  <c r="B5" i="3"/>
  <c r="B8" i="3"/>
  <c r="G145" i="3"/>
  <c r="G142" i="3"/>
  <c r="G139" i="3"/>
  <c r="G138" i="3"/>
  <c r="G147" i="3"/>
  <c r="G143" i="3"/>
  <c r="G141" i="3"/>
  <c r="G137" i="3"/>
  <c r="G146" i="3"/>
  <c r="G144" i="3"/>
  <c r="G140" i="3"/>
  <c r="F67" i="2"/>
  <c r="G67" i="2" s="1"/>
  <c r="H67" i="2" s="1"/>
  <c r="D98" i="3" l="1"/>
  <c r="D96" i="3"/>
  <c r="A48" i="3"/>
  <c r="A45" i="3"/>
  <c r="A46" i="3"/>
  <c r="A41" i="3"/>
  <c r="A38" i="3"/>
  <c r="A44" i="3"/>
  <c r="A42" i="3"/>
  <c r="A47" i="3"/>
  <c r="A39" i="3"/>
  <c r="H9" i="2"/>
  <c r="A40" i="3"/>
  <c r="D100" i="3"/>
  <c r="D99" i="3"/>
  <c r="D11" i="3"/>
  <c r="D9" i="3"/>
  <c r="D12" i="3"/>
  <c r="D5" i="3"/>
  <c r="I66" i="2"/>
  <c r="J66" i="2" s="1"/>
  <c r="D14" i="3"/>
  <c r="N13" i="2"/>
  <c r="M40" i="1"/>
  <c r="D97" i="3"/>
  <c r="D101" i="3"/>
  <c r="D13" i="3"/>
  <c r="D8" i="3"/>
  <c r="D10" i="3"/>
  <c r="D6" i="3"/>
  <c r="D95" i="3"/>
  <c r="I37" i="2"/>
  <c r="J37" i="2" s="1"/>
  <c r="K37" i="2"/>
  <c r="K70" i="2"/>
  <c r="I70" i="2"/>
  <c r="J70" i="2" s="1"/>
  <c r="K36" i="2"/>
  <c r="I36" i="2"/>
  <c r="J36" i="2" s="1"/>
  <c r="K39" i="2"/>
  <c r="I39" i="2"/>
  <c r="J39" i="2" s="1"/>
  <c r="K68" i="2"/>
  <c r="I68" i="2"/>
  <c r="J68" i="2" s="1"/>
  <c r="I67" i="2"/>
  <c r="J67" i="2" s="1"/>
  <c r="K67" i="2"/>
  <c r="B25" i="3"/>
  <c r="B22" i="3"/>
  <c r="B19" i="3"/>
  <c r="B16" i="3"/>
  <c r="B26" i="3"/>
  <c r="B23" i="3"/>
  <c r="B20" i="3"/>
  <c r="B17" i="3"/>
  <c r="B24" i="3"/>
  <c r="B21" i="3"/>
  <c r="B18" i="3"/>
  <c r="E41" i="2"/>
  <c r="E42" i="2"/>
  <c r="E43" i="2"/>
  <c r="J6" i="2"/>
  <c r="G7" i="2" s="1"/>
  <c r="K6" i="2"/>
  <c r="E40" i="2"/>
  <c r="K69" i="2"/>
  <c r="I69" i="2"/>
  <c r="J69" i="2" s="1"/>
  <c r="F104" i="3"/>
  <c r="C104" i="3" s="1"/>
  <c r="E104" i="3" s="1"/>
  <c r="F113" i="3"/>
  <c r="C113" i="3" s="1"/>
  <c r="E113" i="3" s="1"/>
  <c r="F111" i="3"/>
  <c r="C111" i="3" s="1"/>
  <c r="E111" i="3" s="1"/>
  <c r="F109" i="3"/>
  <c r="C109" i="3" s="1"/>
  <c r="E109" i="3" s="1"/>
  <c r="F107" i="3"/>
  <c r="C107" i="3" s="1"/>
  <c r="E107" i="3" s="1"/>
  <c r="F105" i="3"/>
  <c r="C105" i="3" s="1"/>
  <c r="E105" i="3" s="1"/>
  <c r="F114" i="3"/>
  <c r="C114" i="3" s="1"/>
  <c r="E114" i="3" s="1"/>
  <c r="F112" i="3"/>
  <c r="C112" i="3" s="1"/>
  <c r="E112" i="3" s="1"/>
  <c r="F110" i="3"/>
  <c r="C110" i="3" s="1"/>
  <c r="E110" i="3" s="1"/>
  <c r="F106" i="3"/>
  <c r="C106" i="3" s="1"/>
  <c r="E106" i="3" s="1"/>
  <c r="F72" i="2"/>
  <c r="G72" i="2" s="1"/>
  <c r="H72" i="2" s="1"/>
  <c r="F73" i="2"/>
  <c r="G73" i="2" s="1"/>
  <c r="H73" i="2" s="1"/>
  <c r="F74" i="2"/>
  <c r="G74" i="2" s="1"/>
  <c r="H74" i="2" s="1"/>
  <c r="F75" i="2"/>
  <c r="G75" i="2" s="1"/>
  <c r="H75" i="2" s="1"/>
  <c r="F108" i="3"/>
  <c r="C108" i="3" s="1"/>
  <c r="E108" i="3" s="1"/>
  <c r="I14" i="2"/>
  <c r="K38" i="2"/>
  <c r="I38" i="2"/>
  <c r="J38" i="2" s="1"/>
  <c r="D103" i="3"/>
  <c r="B112" i="3"/>
  <c r="B110" i="3"/>
  <c r="B108" i="3"/>
  <c r="B106" i="3"/>
  <c r="B104" i="3"/>
  <c r="B113" i="3"/>
  <c r="B111" i="3"/>
  <c r="B109" i="3"/>
  <c r="B107" i="3"/>
  <c r="B105" i="3"/>
  <c r="B114" i="3"/>
  <c r="E72" i="2"/>
  <c r="E73" i="2"/>
  <c r="E74" i="2"/>
  <c r="E75" i="2"/>
  <c r="K14" i="2"/>
  <c r="J14" i="2"/>
  <c r="G15" i="2" s="1"/>
  <c r="B12" i="4"/>
  <c r="E59" i="1"/>
  <c r="B14" i="4" s="1"/>
  <c r="N5" i="2"/>
  <c r="D94" i="3"/>
  <c r="F26" i="3"/>
  <c r="C26" i="3" s="1"/>
  <c r="E26" i="3" s="1"/>
  <c r="F23" i="3"/>
  <c r="C23" i="3" s="1"/>
  <c r="E23" i="3" s="1"/>
  <c r="F20" i="3"/>
  <c r="C20" i="3" s="1"/>
  <c r="E20" i="3" s="1"/>
  <c r="F17" i="3"/>
  <c r="C17" i="3" s="1"/>
  <c r="E17" i="3" s="1"/>
  <c r="F24" i="3"/>
  <c r="C24" i="3" s="1"/>
  <c r="E24" i="3" s="1"/>
  <c r="D24" i="3" s="1"/>
  <c r="F21" i="3"/>
  <c r="C21" i="3" s="1"/>
  <c r="E21" i="3" s="1"/>
  <c r="F18" i="3"/>
  <c r="C18" i="3" s="1"/>
  <c r="E18" i="3" s="1"/>
  <c r="F25" i="3"/>
  <c r="C25" i="3" s="1"/>
  <c r="E25" i="3" s="1"/>
  <c r="F22" i="3"/>
  <c r="C22" i="3" s="1"/>
  <c r="E22" i="3" s="1"/>
  <c r="F19" i="3"/>
  <c r="C19" i="3" s="1"/>
  <c r="E19" i="3" s="1"/>
  <c r="F16" i="3"/>
  <c r="C16" i="3" s="1"/>
  <c r="E16" i="3" s="1"/>
  <c r="F41" i="2"/>
  <c r="G41" i="2" s="1"/>
  <c r="H41" i="2" s="1"/>
  <c r="F42" i="2"/>
  <c r="G42" i="2" s="1"/>
  <c r="H42" i="2" s="1"/>
  <c r="F43" i="2"/>
  <c r="G43" i="2" s="1"/>
  <c r="H43" i="2" s="1"/>
  <c r="I6" i="2"/>
  <c r="F40" i="2"/>
  <c r="G40" i="2" s="1"/>
  <c r="H40" i="2" s="1"/>
  <c r="K71" i="2"/>
  <c r="I71" i="2"/>
  <c r="J71" i="2" s="1"/>
  <c r="D93" i="3"/>
  <c r="K64" i="2"/>
  <c r="I64" i="2"/>
  <c r="J64" i="2" s="1"/>
  <c r="E24" i="1"/>
  <c r="L12" i="2" l="1"/>
  <c r="A59" i="3"/>
  <c r="A57" i="3"/>
  <c r="A52" i="3"/>
  <c r="A50" i="3"/>
  <c r="H10" i="2"/>
  <c r="A55" i="3"/>
  <c r="A53" i="3"/>
  <c r="A58" i="3"/>
  <c r="A49" i="3"/>
  <c r="A51" i="3"/>
  <c r="A54" i="3"/>
  <c r="A56" i="3"/>
  <c r="D16" i="3"/>
  <c r="D19" i="3"/>
  <c r="D20" i="3"/>
  <c r="D23" i="3"/>
  <c r="D18" i="3"/>
  <c r="D22" i="3"/>
  <c r="D111" i="3"/>
  <c r="D25" i="3"/>
  <c r="D17" i="3"/>
  <c r="D26" i="3"/>
  <c r="D107" i="3"/>
  <c r="D108" i="3"/>
  <c r="L13" i="2"/>
  <c r="F15" i="2"/>
  <c r="E77" i="2" s="1"/>
  <c r="N14" i="2"/>
  <c r="D109" i="3"/>
  <c r="M12" i="2"/>
  <c r="K75" i="2"/>
  <c r="I75" i="2"/>
  <c r="J75" i="2" s="1"/>
  <c r="D113" i="3"/>
  <c r="M13" i="2"/>
  <c r="B7" i="4"/>
  <c r="M43" i="1"/>
  <c r="K74" i="2"/>
  <c r="I74" i="2"/>
  <c r="J74" i="2" s="1"/>
  <c r="D104" i="3"/>
  <c r="I73" i="2"/>
  <c r="J73" i="2" s="1"/>
  <c r="K73" i="2"/>
  <c r="K72" i="2"/>
  <c r="I72" i="2"/>
  <c r="J72" i="2" s="1"/>
  <c r="L5" i="2"/>
  <c r="D21" i="3"/>
  <c r="D106" i="3"/>
  <c r="M5" i="2"/>
  <c r="D110" i="3"/>
  <c r="K40" i="2"/>
  <c r="I40" i="2"/>
  <c r="J40" i="2" s="1"/>
  <c r="D112" i="3"/>
  <c r="I43" i="2"/>
  <c r="J43" i="2" s="1"/>
  <c r="K43" i="2"/>
  <c r="D114" i="3"/>
  <c r="K41" i="2"/>
  <c r="I41" i="2"/>
  <c r="J41" i="2" s="1"/>
  <c r="F7" i="2"/>
  <c r="B35" i="3" s="1"/>
  <c r="N6" i="2"/>
  <c r="K42" i="2"/>
  <c r="I42" i="2"/>
  <c r="J42" i="2" s="1"/>
  <c r="D105" i="3"/>
  <c r="A70" i="3" l="1"/>
  <c r="A67" i="3"/>
  <c r="A60" i="3"/>
  <c r="A65" i="3"/>
  <c r="A63" i="3"/>
  <c r="A68" i="3"/>
  <c r="H11" i="2"/>
  <c r="A66" i="3"/>
  <c r="A64" i="3"/>
  <c r="A61" i="3"/>
  <c r="A69" i="3"/>
  <c r="A62" i="3"/>
  <c r="B122" i="3"/>
  <c r="B124" i="3"/>
  <c r="B117" i="3"/>
  <c r="B115" i="3"/>
  <c r="B119" i="3"/>
  <c r="B37" i="3"/>
  <c r="B123" i="3"/>
  <c r="B121" i="3"/>
  <c r="J15" i="2"/>
  <c r="G16" i="2" s="1"/>
  <c r="E76" i="2"/>
  <c r="B116" i="3"/>
  <c r="K15" i="2"/>
  <c r="B120" i="3"/>
  <c r="B118" i="3"/>
  <c r="B125" i="3"/>
  <c r="E44" i="2"/>
  <c r="E79" i="2"/>
  <c r="E47" i="2"/>
  <c r="E78" i="2"/>
  <c r="E45" i="2"/>
  <c r="B34" i="3"/>
  <c r="L6" i="2"/>
  <c r="B27" i="3"/>
  <c r="B32" i="3"/>
  <c r="F123" i="3"/>
  <c r="C123" i="3" s="1"/>
  <c r="E123" i="3" s="1"/>
  <c r="F121" i="3"/>
  <c r="C121" i="3" s="1"/>
  <c r="E121" i="3" s="1"/>
  <c r="F119" i="3"/>
  <c r="C119" i="3" s="1"/>
  <c r="E119" i="3" s="1"/>
  <c r="F117" i="3"/>
  <c r="C117" i="3" s="1"/>
  <c r="E117" i="3" s="1"/>
  <c r="D117" i="3" s="1"/>
  <c r="F115" i="3"/>
  <c r="C115" i="3" s="1"/>
  <c r="E115" i="3" s="1"/>
  <c r="F124" i="3"/>
  <c r="C124" i="3" s="1"/>
  <c r="E124" i="3" s="1"/>
  <c r="D124" i="3" s="1"/>
  <c r="F122" i="3"/>
  <c r="C122" i="3" s="1"/>
  <c r="E122" i="3" s="1"/>
  <c r="D122" i="3" s="1"/>
  <c r="F120" i="3"/>
  <c r="C120" i="3" s="1"/>
  <c r="E120" i="3" s="1"/>
  <c r="F118" i="3"/>
  <c r="C118" i="3" s="1"/>
  <c r="E118" i="3" s="1"/>
  <c r="F116" i="3"/>
  <c r="C116" i="3" s="1"/>
  <c r="E116" i="3" s="1"/>
  <c r="F77" i="2"/>
  <c r="G77" i="2" s="1"/>
  <c r="H77" i="2" s="1"/>
  <c r="F78" i="2"/>
  <c r="G78" i="2" s="1"/>
  <c r="H78" i="2" s="1"/>
  <c r="F79" i="2"/>
  <c r="G79" i="2" s="1"/>
  <c r="H79" i="2" s="1"/>
  <c r="F125" i="3"/>
  <c r="C125" i="3" s="1"/>
  <c r="E125" i="3" s="1"/>
  <c r="F76" i="2"/>
  <c r="G76" i="2" s="1"/>
  <c r="H76" i="2" s="1"/>
  <c r="I15" i="2"/>
  <c r="F16" i="2" s="1"/>
  <c r="M6" i="2"/>
  <c r="E46" i="2"/>
  <c r="F35" i="3"/>
  <c r="C35" i="3" s="1"/>
  <c r="E35" i="3" s="1"/>
  <c r="D35" i="3" s="1"/>
  <c r="F32" i="3"/>
  <c r="C32" i="3" s="1"/>
  <c r="E32" i="3" s="1"/>
  <c r="F29" i="3"/>
  <c r="C29" i="3" s="1"/>
  <c r="E29" i="3" s="1"/>
  <c r="F36" i="3"/>
  <c r="C36" i="3" s="1"/>
  <c r="E36" i="3" s="1"/>
  <c r="F33" i="3"/>
  <c r="C33" i="3" s="1"/>
  <c r="E33" i="3" s="1"/>
  <c r="F30" i="3"/>
  <c r="C30" i="3" s="1"/>
  <c r="E30" i="3" s="1"/>
  <c r="F27" i="3"/>
  <c r="C27" i="3" s="1"/>
  <c r="E27" i="3" s="1"/>
  <c r="F37" i="3"/>
  <c r="C37" i="3" s="1"/>
  <c r="E37" i="3" s="1"/>
  <c r="F34" i="3"/>
  <c r="C34" i="3" s="1"/>
  <c r="E34" i="3" s="1"/>
  <c r="F31" i="3"/>
  <c r="C31" i="3" s="1"/>
  <c r="E31" i="3" s="1"/>
  <c r="F28" i="3"/>
  <c r="C28" i="3" s="1"/>
  <c r="E28" i="3" s="1"/>
  <c r="F47" i="2"/>
  <c r="G47" i="2" s="1"/>
  <c r="H47" i="2" s="1"/>
  <c r="F44" i="2"/>
  <c r="G44" i="2" s="1"/>
  <c r="H44" i="2" s="1"/>
  <c r="F45" i="2"/>
  <c r="G45" i="2" s="1"/>
  <c r="H45" i="2" s="1"/>
  <c r="I7" i="2"/>
  <c r="F8" i="2" s="1"/>
  <c r="F46" i="2"/>
  <c r="G46" i="2" s="1"/>
  <c r="H46" i="2" s="1"/>
  <c r="B30" i="3"/>
  <c r="B36" i="3"/>
  <c r="B29" i="3"/>
  <c r="J7" i="2"/>
  <c r="G8" i="2" s="1"/>
  <c r="B28" i="3"/>
  <c r="L14" i="2"/>
  <c r="B33" i="3"/>
  <c r="K7" i="2"/>
  <c r="B31" i="3"/>
  <c r="M14" i="2"/>
  <c r="B126" i="3" l="1"/>
  <c r="D125" i="3"/>
  <c r="D115" i="3"/>
  <c r="D116" i="3"/>
  <c r="A71" i="3"/>
  <c r="H12" i="2"/>
  <c r="A80" i="3"/>
  <c r="A74" i="3"/>
  <c r="A79" i="3"/>
  <c r="A81" i="3"/>
  <c r="A76" i="3"/>
  <c r="A72" i="3"/>
  <c r="A73" i="3"/>
  <c r="A77" i="3"/>
  <c r="A78" i="3"/>
  <c r="A75" i="3"/>
  <c r="B131" i="3"/>
  <c r="D119" i="3"/>
  <c r="D123" i="3"/>
  <c r="D37" i="3"/>
  <c r="D118" i="3"/>
  <c r="D34" i="3"/>
  <c r="D121" i="3"/>
  <c r="D29" i="3"/>
  <c r="D120" i="3"/>
  <c r="B128" i="3"/>
  <c r="B130" i="3"/>
  <c r="D28" i="3"/>
  <c r="B134" i="3"/>
  <c r="D33" i="3"/>
  <c r="N7" i="2"/>
  <c r="D36" i="3"/>
  <c r="F41" i="3"/>
  <c r="C41" i="3" s="1"/>
  <c r="E41" i="3" s="1"/>
  <c r="F38" i="3"/>
  <c r="C38" i="3" s="1"/>
  <c r="E38" i="3" s="1"/>
  <c r="F44" i="3"/>
  <c r="C44" i="3" s="1"/>
  <c r="E44" i="3" s="1"/>
  <c r="F47" i="3"/>
  <c r="C47" i="3" s="1"/>
  <c r="E47" i="3" s="1"/>
  <c r="F42" i="3"/>
  <c r="C42" i="3" s="1"/>
  <c r="E42" i="3" s="1"/>
  <c r="F39" i="3"/>
  <c r="C39" i="3" s="1"/>
  <c r="E39" i="3" s="1"/>
  <c r="F45" i="3"/>
  <c r="C45" i="3" s="1"/>
  <c r="E45" i="3" s="1"/>
  <c r="F43" i="3"/>
  <c r="C43" i="3" s="1"/>
  <c r="E43" i="3" s="1"/>
  <c r="F40" i="3"/>
  <c r="C40" i="3" s="1"/>
  <c r="E40" i="3" s="1"/>
  <c r="F48" i="3"/>
  <c r="C48" i="3" s="1"/>
  <c r="E48" i="3" s="1"/>
  <c r="F46" i="3"/>
  <c r="C46" i="3" s="1"/>
  <c r="E46" i="3" s="1"/>
  <c r="F48" i="2"/>
  <c r="G48" i="2" s="1"/>
  <c r="H48" i="2" s="1"/>
  <c r="F49" i="2"/>
  <c r="G49" i="2" s="1"/>
  <c r="H49" i="2" s="1"/>
  <c r="F50" i="2"/>
  <c r="G50" i="2" s="1"/>
  <c r="H50" i="2" s="1"/>
  <c r="F51" i="2"/>
  <c r="G51" i="2" s="1"/>
  <c r="H51" i="2" s="1"/>
  <c r="I8" i="2"/>
  <c r="F9" i="2" s="1"/>
  <c r="D32" i="3"/>
  <c r="B132" i="3"/>
  <c r="K78" i="2"/>
  <c r="I78" i="2"/>
  <c r="J78" i="2" s="1"/>
  <c r="K46" i="2"/>
  <c r="I46" i="2"/>
  <c r="J46" i="2" s="1"/>
  <c r="K44" i="2"/>
  <c r="I44" i="2"/>
  <c r="J44" i="2" s="1"/>
  <c r="J16" i="2"/>
  <c r="G17" i="2" s="1"/>
  <c r="B136" i="3"/>
  <c r="E82" i="2"/>
  <c r="B127" i="3"/>
  <c r="K45" i="2"/>
  <c r="I45" i="2"/>
  <c r="J45" i="2" s="1"/>
  <c r="B43" i="3"/>
  <c r="B40" i="3"/>
  <c r="B46" i="3"/>
  <c r="B41" i="3"/>
  <c r="B38" i="3"/>
  <c r="B44" i="3"/>
  <c r="B47" i="3"/>
  <c r="B42" i="3"/>
  <c r="B39" i="3"/>
  <c r="B45" i="3"/>
  <c r="E48" i="2"/>
  <c r="B48" i="3"/>
  <c r="E49" i="2"/>
  <c r="E50" i="2"/>
  <c r="E51" i="2"/>
  <c r="K8" i="2"/>
  <c r="J8" i="2"/>
  <c r="G9" i="2" s="1"/>
  <c r="K16" i="2"/>
  <c r="B129" i="3"/>
  <c r="I79" i="2"/>
  <c r="J79" i="2" s="1"/>
  <c r="K79" i="2"/>
  <c r="K47" i="2"/>
  <c r="I47" i="2"/>
  <c r="J47" i="2" s="1"/>
  <c r="D31" i="3"/>
  <c r="N15" i="2"/>
  <c r="E81" i="2"/>
  <c r="F136" i="3"/>
  <c r="C136" i="3" s="1"/>
  <c r="E136" i="3" s="1"/>
  <c r="F134" i="3"/>
  <c r="C134" i="3" s="1"/>
  <c r="E134" i="3" s="1"/>
  <c r="D134" i="3" s="1"/>
  <c r="F132" i="3"/>
  <c r="C132" i="3" s="1"/>
  <c r="E132" i="3" s="1"/>
  <c r="F130" i="3"/>
  <c r="C130" i="3" s="1"/>
  <c r="E130" i="3" s="1"/>
  <c r="F128" i="3"/>
  <c r="C128" i="3" s="1"/>
  <c r="E128" i="3" s="1"/>
  <c r="F126" i="3"/>
  <c r="C126" i="3" s="1"/>
  <c r="E126" i="3" s="1"/>
  <c r="D126" i="3" s="1"/>
  <c r="F135" i="3"/>
  <c r="C135" i="3" s="1"/>
  <c r="E135" i="3" s="1"/>
  <c r="F133" i="3"/>
  <c r="C133" i="3" s="1"/>
  <c r="E133" i="3" s="1"/>
  <c r="F131" i="3"/>
  <c r="C131" i="3" s="1"/>
  <c r="E131" i="3" s="1"/>
  <c r="F129" i="3"/>
  <c r="C129" i="3" s="1"/>
  <c r="E129" i="3" s="1"/>
  <c r="F127" i="3"/>
  <c r="C127" i="3" s="1"/>
  <c r="E127" i="3" s="1"/>
  <c r="F83" i="2"/>
  <c r="G83" i="2" s="1"/>
  <c r="H83" i="2" s="1"/>
  <c r="F80" i="2"/>
  <c r="G80" i="2" s="1"/>
  <c r="H80" i="2" s="1"/>
  <c r="F81" i="2"/>
  <c r="G81" i="2" s="1"/>
  <c r="H81" i="2" s="1"/>
  <c r="F82" i="2"/>
  <c r="G82" i="2" s="1"/>
  <c r="H82" i="2" s="1"/>
  <c r="I16" i="2"/>
  <c r="F17" i="2" s="1"/>
  <c r="N16" i="2"/>
  <c r="E80" i="2"/>
  <c r="B133" i="3"/>
  <c r="K77" i="2"/>
  <c r="I77" i="2"/>
  <c r="J77" i="2" s="1"/>
  <c r="D27" i="3"/>
  <c r="K76" i="2"/>
  <c r="I76" i="2"/>
  <c r="J76" i="2" s="1"/>
  <c r="E83" i="2"/>
  <c r="D30" i="3"/>
  <c r="B135" i="3"/>
  <c r="D131" i="3" l="1"/>
  <c r="D133" i="3"/>
  <c r="N8" i="2"/>
  <c r="A82" i="3"/>
  <c r="A89" i="3"/>
  <c r="A87" i="3"/>
  <c r="A83" i="3"/>
  <c r="A92" i="3"/>
  <c r="A85" i="3"/>
  <c r="A90" i="3"/>
  <c r="A86" i="3"/>
  <c r="A84" i="3"/>
  <c r="H13" i="2"/>
  <c r="A88" i="3"/>
  <c r="A91" i="3"/>
  <c r="D127" i="3"/>
  <c r="D128" i="3"/>
  <c r="D130" i="3"/>
  <c r="D129" i="3"/>
  <c r="D135" i="3"/>
  <c r="D45" i="3"/>
  <c r="M15" i="2"/>
  <c r="D136" i="3"/>
  <c r="D48" i="3"/>
  <c r="L15" i="2"/>
  <c r="D40" i="3"/>
  <c r="D43" i="3"/>
  <c r="K83" i="2"/>
  <c r="I83" i="2"/>
  <c r="J83" i="2" s="1"/>
  <c r="D39" i="3"/>
  <c r="D42" i="3"/>
  <c r="K80" i="2"/>
  <c r="I80" i="2"/>
  <c r="J80" i="2" s="1"/>
  <c r="F56" i="3"/>
  <c r="C56" i="3" s="1"/>
  <c r="E56" i="3" s="1"/>
  <c r="F51" i="3"/>
  <c r="C51" i="3" s="1"/>
  <c r="E51" i="3" s="1"/>
  <c r="F49" i="3"/>
  <c r="C49" i="3" s="1"/>
  <c r="E49" i="3" s="1"/>
  <c r="F59" i="3"/>
  <c r="C59" i="3" s="1"/>
  <c r="E59" i="3" s="1"/>
  <c r="F54" i="3"/>
  <c r="C54" i="3" s="1"/>
  <c r="E54" i="3" s="1"/>
  <c r="F52" i="3"/>
  <c r="C52" i="3" s="1"/>
  <c r="E52" i="3" s="1"/>
  <c r="F57" i="3"/>
  <c r="C57" i="3" s="1"/>
  <c r="E57" i="3" s="1"/>
  <c r="F50" i="3"/>
  <c r="C50" i="3" s="1"/>
  <c r="E50" i="3" s="1"/>
  <c r="F55" i="3"/>
  <c r="C55" i="3" s="1"/>
  <c r="E55" i="3" s="1"/>
  <c r="F53" i="3"/>
  <c r="C53" i="3" s="1"/>
  <c r="E53" i="3" s="1"/>
  <c r="F58" i="3"/>
  <c r="C58" i="3" s="1"/>
  <c r="E58" i="3" s="1"/>
  <c r="F53" i="2"/>
  <c r="G53" i="2" s="1"/>
  <c r="H53" i="2" s="1"/>
  <c r="F54" i="2"/>
  <c r="G54" i="2" s="1"/>
  <c r="H54" i="2" s="1"/>
  <c r="F55" i="2"/>
  <c r="G55" i="2" s="1"/>
  <c r="H55" i="2" s="1"/>
  <c r="F52" i="2"/>
  <c r="G52" i="2" s="1"/>
  <c r="H52" i="2" s="1"/>
  <c r="I9" i="2"/>
  <c r="F10" i="2" s="1"/>
  <c r="D47" i="3"/>
  <c r="K51" i="2"/>
  <c r="I51" i="2"/>
  <c r="J51" i="2" s="1"/>
  <c r="D44" i="3"/>
  <c r="B146" i="3"/>
  <c r="B144" i="3"/>
  <c r="B142" i="3"/>
  <c r="B140" i="3"/>
  <c r="B138" i="3"/>
  <c r="B147" i="3"/>
  <c r="B145" i="3"/>
  <c r="B143" i="3"/>
  <c r="B141" i="3"/>
  <c r="B139" i="3"/>
  <c r="B137" i="3"/>
  <c r="E84" i="2"/>
  <c r="E85" i="2"/>
  <c r="E86" i="2"/>
  <c r="E87" i="2"/>
  <c r="K17" i="2"/>
  <c r="J17" i="2"/>
  <c r="G18" i="2" s="1"/>
  <c r="K50" i="2"/>
  <c r="I50" i="2"/>
  <c r="J50" i="2" s="1"/>
  <c r="D38" i="3"/>
  <c r="D46" i="3"/>
  <c r="F140" i="3"/>
  <c r="C140" i="3" s="1"/>
  <c r="E140" i="3" s="1"/>
  <c r="F138" i="3"/>
  <c r="C138" i="3" s="1"/>
  <c r="E138" i="3" s="1"/>
  <c r="F147" i="3"/>
  <c r="C147" i="3" s="1"/>
  <c r="E147" i="3" s="1"/>
  <c r="F145" i="3"/>
  <c r="C145" i="3" s="1"/>
  <c r="E145" i="3" s="1"/>
  <c r="F143" i="3"/>
  <c r="C143" i="3" s="1"/>
  <c r="E143" i="3" s="1"/>
  <c r="F141" i="3"/>
  <c r="C141" i="3" s="1"/>
  <c r="E141" i="3" s="1"/>
  <c r="F139" i="3"/>
  <c r="C139" i="3" s="1"/>
  <c r="E139" i="3" s="1"/>
  <c r="F137" i="3"/>
  <c r="C137" i="3" s="1"/>
  <c r="E137" i="3" s="1"/>
  <c r="F146" i="3"/>
  <c r="C146" i="3" s="1"/>
  <c r="E146" i="3" s="1"/>
  <c r="F84" i="2"/>
  <c r="G84" i="2" s="1"/>
  <c r="H84" i="2" s="1"/>
  <c r="F85" i="2"/>
  <c r="G85" i="2" s="1"/>
  <c r="H85" i="2" s="1"/>
  <c r="F144" i="3"/>
  <c r="C144" i="3" s="1"/>
  <c r="E144" i="3" s="1"/>
  <c r="F86" i="2"/>
  <c r="G86" i="2" s="1"/>
  <c r="H86" i="2" s="1"/>
  <c r="F87" i="2"/>
  <c r="G87" i="2" s="1"/>
  <c r="H87" i="2" s="1"/>
  <c r="F142" i="3"/>
  <c r="C142" i="3" s="1"/>
  <c r="E142" i="3" s="1"/>
  <c r="I17" i="2"/>
  <c r="F18" i="2" s="1"/>
  <c r="K82" i="2"/>
  <c r="I82" i="2"/>
  <c r="J82" i="2" s="1"/>
  <c r="D132" i="3"/>
  <c r="B53" i="3"/>
  <c r="B58" i="3"/>
  <c r="B51" i="3"/>
  <c r="B56" i="3"/>
  <c r="B54" i="3"/>
  <c r="B49" i="3"/>
  <c r="B59" i="3"/>
  <c r="B57" i="3"/>
  <c r="B52" i="3"/>
  <c r="B50" i="3"/>
  <c r="E53" i="2"/>
  <c r="E54" i="2"/>
  <c r="B55" i="3"/>
  <c r="E55" i="2"/>
  <c r="E52" i="2"/>
  <c r="K9" i="2"/>
  <c r="J9" i="2"/>
  <c r="G10" i="2" s="1"/>
  <c r="L7" i="2"/>
  <c r="I49" i="2"/>
  <c r="J49" i="2" s="1"/>
  <c r="K49" i="2"/>
  <c r="D41" i="3"/>
  <c r="K81" i="2"/>
  <c r="I81" i="2"/>
  <c r="J81" i="2" s="1"/>
  <c r="M7" i="2"/>
  <c r="K48" i="2"/>
  <c r="I48" i="2"/>
  <c r="J48" i="2" s="1"/>
  <c r="A101" i="3" l="1"/>
  <c r="A100" i="3"/>
  <c r="A102" i="3"/>
  <c r="H14" i="2"/>
  <c r="A99" i="3"/>
  <c r="A98" i="3"/>
  <c r="A103" i="3"/>
  <c r="A95" i="3"/>
  <c r="A97" i="3"/>
  <c r="A94" i="3"/>
  <c r="A96" i="3"/>
  <c r="A93" i="3"/>
  <c r="D141" i="3"/>
  <c r="N17" i="2"/>
  <c r="D143" i="3"/>
  <c r="D59" i="3"/>
  <c r="D49" i="3"/>
  <c r="D146" i="3"/>
  <c r="D51" i="3"/>
  <c r="M8" i="2"/>
  <c r="D137" i="3"/>
  <c r="D56" i="3"/>
  <c r="D142" i="3"/>
  <c r="L8" i="2"/>
  <c r="D139" i="3"/>
  <c r="B156" i="3"/>
  <c r="B154" i="3"/>
  <c r="B158" i="3"/>
  <c r="B148" i="3"/>
  <c r="B153" i="3"/>
  <c r="B155" i="3"/>
  <c r="B151" i="3"/>
  <c r="B149" i="3"/>
  <c r="B157" i="3"/>
  <c r="E89" i="2"/>
  <c r="E90" i="2"/>
  <c r="E91" i="2"/>
  <c r="B152" i="3"/>
  <c r="B150" i="3"/>
  <c r="K18" i="2"/>
  <c r="J18" i="2"/>
  <c r="G19" i="2" s="1"/>
  <c r="E88" i="2"/>
  <c r="I55" i="2"/>
  <c r="J55" i="2" s="1"/>
  <c r="K55" i="2"/>
  <c r="K54" i="2"/>
  <c r="I54" i="2"/>
  <c r="J54" i="2" s="1"/>
  <c r="F68" i="3"/>
  <c r="C68" i="3" s="1"/>
  <c r="E68" i="3" s="1"/>
  <c r="F63" i="3"/>
  <c r="C63" i="3" s="1"/>
  <c r="E63" i="3" s="1"/>
  <c r="F61" i="3"/>
  <c r="C61" i="3" s="1"/>
  <c r="E61" i="3" s="1"/>
  <c r="F66" i="3"/>
  <c r="C66" i="3" s="1"/>
  <c r="E66" i="3" s="1"/>
  <c r="F64" i="3"/>
  <c r="C64" i="3" s="1"/>
  <c r="E64" i="3" s="1"/>
  <c r="F69" i="3"/>
  <c r="C69" i="3" s="1"/>
  <c r="E69" i="3" s="1"/>
  <c r="F62" i="3"/>
  <c r="C62" i="3" s="1"/>
  <c r="E62" i="3" s="1"/>
  <c r="F67" i="3"/>
  <c r="C67" i="3" s="1"/>
  <c r="E67" i="3" s="1"/>
  <c r="F65" i="3"/>
  <c r="C65" i="3" s="1"/>
  <c r="E65" i="3" s="1"/>
  <c r="F60" i="3"/>
  <c r="C60" i="3" s="1"/>
  <c r="E60" i="3" s="1"/>
  <c r="F59" i="2"/>
  <c r="G59" i="2" s="1"/>
  <c r="H59" i="2" s="1"/>
  <c r="F70" i="3"/>
  <c r="C70" i="3" s="1"/>
  <c r="E70" i="3" s="1"/>
  <c r="F56" i="2"/>
  <c r="G56" i="2" s="1"/>
  <c r="H56" i="2" s="1"/>
  <c r="F57" i="2"/>
  <c r="G57" i="2" s="1"/>
  <c r="H57" i="2" s="1"/>
  <c r="F58" i="2"/>
  <c r="G58" i="2" s="1"/>
  <c r="H58" i="2" s="1"/>
  <c r="I10" i="2"/>
  <c r="F11" i="2" s="1"/>
  <c r="K53" i="2"/>
  <c r="I53" i="2"/>
  <c r="J53" i="2" s="1"/>
  <c r="L16" i="2"/>
  <c r="K52" i="2"/>
  <c r="I52" i="2"/>
  <c r="J52" i="2" s="1"/>
  <c r="D58" i="3"/>
  <c r="M16" i="2"/>
  <c r="K84" i="2"/>
  <c r="I84" i="2"/>
  <c r="J84" i="2" s="1"/>
  <c r="F151" i="3"/>
  <c r="C151" i="3" s="1"/>
  <c r="E151" i="3" s="1"/>
  <c r="F155" i="3"/>
  <c r="C155" i="3" s="1"/>
  <c r="E155" i="3" s="1"/>
  <c r="F153" i="3"/>
  <c r="C153" i="3" s="1"/>
  <c r="E153" i="3" s="1"/>
  <c r="F149" i="3"/>
  <c r="C149" i="3" s="1"/>
  <c r="E149" i="3" s="1"/>
  <c r="F157" i="3"/>
  <c r="C157" i="3" s="1"/>
  <c r="E157" i="3" s="1"/>
  <c r="F152" i="3"/>
  <c r="C152" i="3" s="1"/>
  <c r="E152" i="3" s="1"/>
  <c r="F154" i="3"/>
  <c r="C154" i="3" s="1"/>
  <c r="E154" i="3" s="1"/>
  <c r="F150" i="3"/>
  <c r="C150" i="3" s="1"/>
  <c r="E150" i="3" s="1"/>
  <c r="F148" i="3"/>
  <c r="C148" i="3" s="1"/>
  <c r="E148" i="3" s="1"/>
  <c r="D148" i="3" s="1"/>
  <c r="F158" i="3"/>
  <c r="C158" i="3" s="1"/>
  <c r="E158" i="3" s="1"/>
  <c r="D158" i="3" s="1"/>
  <c r="F156" i="3"/>
  <c r="C156" i="3" s="1"/>
  <c r="E156" i="3" s="1"/>
  <c r="D156" i="3" s="1"/>
  <c r="F89" i="2"/>
  <c r="G89" i="2" s="1"/>
  <c r="H89" i="2" s="1"/>
  <c r="F90" i="2"/>
  <c r="G90" i="2" s="1"/>
  <c r="H90" i="2" s="1"/>
  <c r="F91" i="2"/>
  <c r="G91" i="2" s="1"/>
  <c r="H91" i="2" s="1"/>
  <c r="I18" i="2"/>
  <c r="F19" i="2" s="1"/>
  <c r="F88" i="2"/>
  <c r="G88" i="2" s="1"/>
  <c r="H88" i="2" s="1"/>
  <c r="D145" i="3"/>
  <c r="D53" i="3"/>
  <c r="D147" i="3"/>
  <c r="D55" i="3"/>
  <c r="K87" i="2"/>
  <c r="I87" i="2"/>
  <c r="J87" i="2" s="1"/>
  <c r="D138" i="3"/>
  <c r="D50" i="3"/>
  <c r="K86" i="2"/>
  <c r="I86" i="2"/>
  <c r="J86" i="2" s="1"/>
  <c r="D140" i="3"/>
  <c r="D57" i="3"/>
  <c r="D144" i="3"/>
  <c r="D52" i="3"/>
  <c r="B65" i="3"/>
  <c r="B63" i="3"/>
  <c r="B70" i="3"/>
  <c r="B68" i="3"/>
  <c r="B66" i="3"/>
  <c r="B61" i="3"/>
  <c r="B69" i="3"/>
  <c r="B64" i="3"/>
  <c r="B62" i="3"/>
  <c r="E59" i="2"/>
  <c r="E56" i="2"/>
  <c r="B60" i="3"/>
  <c r="E57" i="2"/>
  <c r="B67" i="3"/>
  <c r="E58" i="2"/>
  <c r="K10" i="2"/>
  <c r="J10" i="2"/>
  <c r="G11" i="2" s="1"/>
  <c r="I85" i="2"/>
  <c r="J85" i="2" s="1"/>
  <c r="K85" i="2"/>
  <c r="N9" i="2"/>
  <c r="D54" i="3"/>
  <c r="A104" i="3" l="1"/>
  <c r="A113" i="3"/>
  <c r="A108" i="3"/>
  <c r="A111" i="3"/>
  <c r="A110" i="3"/>
  <c r="A107" i="3"/>
  <c r="A105" i="3"/>
  <c r="H15" i="2"/>
  <c r="A112" i="3"/>
  <c r="A109" i="3"/>
  <c r="A106" i="3"/>
  <c r="A114" i="3"/>
  <c r="D63" i="3"/>
  <c r="D153" i="3"/>
  <c r="N10" i="2"/>
  <c r="L9" i="2"/>
  <c r="D157" i="3"/>
  <c r="D155" i="3"/>
  <c r="D151" i="3"/>
  <c r="D61" i="3"/>
  <c r="D68" i="3"/>
  <c r="D154" i="3"/>
  <c r="M9" i="2"/>
  <c r="M17" i="2"/>
  <c r="D150" i="3"/>
  <c r="D152" i="3"/>
  <c r="N18" i="2"/>
  <c r="D149" i="3"/>
  <c r="D70" i="3"/>
  <c r="K59" i="2"/>
  <c r="I59" i="2"/>
  <c r="J59" i="2" s="1"/>
  <c r="K58" i="2"/>
  <c r="I58" i="2"/>
  <c r="J58" i="2" s="1"/>
  <c r="D60" i="3"/>
  <c r="D65" i="3"/>
  <c r="K57" i="2"/>
  <c r="I57" i="2"/>
  <c r="J57" i="2" s="1"/>
  <c r="K88" i="2"/>
  <c r="I88" i="2"/>
  <c r="J88" i="2" s="1"/>
  <c r="D67" i="3"/>
  <c r="F164" i="3"/>
  <c r="C164" i="3" s="1"/>
  <c r="E164" i="3" s="1"/>
  <c r="F162" i="3"/>
  <c r="C162" i="3" s="1"/>
  <c r="E162" i="3" s="1"/>
  <c r="F166" i="3"/>
  <c r="C166" i="3" s="1"/>
  <c r="E166" i="3" s="1"/>
  <c r="F168" i="3"/>
  <c r="C168" i="3" s="1"/>
  <c r="E168" i="3" s="1"/>
  <c r="F161" i="3"/>
  <c r="C161" i="3" s="1"/>
  <c r="E161" i="3" s="1"/>
  <c r="F159" i="3"/>
  <c r="C159" i="3" s="1"/>
  <c r="E159" i="3" s="1"/>
  <c r="F163" i="3"/>
  <c r="C163" i="3" s="1"/>
  <c r="E163" i="3" s="1"/>
  <c r="F167" i="3"/>
  <c r="C167" i="3" s="1"/>
  <c r="E167" i="3" s="1"/>
  <c r="D167" i="3" s="1"/>
  <c r="F165" i="3"/>
  <c r="C165" i="3" s="1"/>
  <c r="E165" i="3" s="1"/>
  <c r="F169" i="3"/>
  <c r="C169" i="3" s="1"/>
  <c r="E169" i="3" s="1"/>
  <c r="F95" i="2"/>
  <c r="G95" i="2" s="1"/>
  <c r="H95" i="2" s="1"/>
  <c r="F160" i="3"/>
  <c r="C160" i="3" s="1"/>
  <c r="E160" i="3" s="1"/>
  <c r="F92" i="2"/>
  <c r="G92" i="2" s="1"/>
  <c r="H92" i="2" s="1"/>
  <c r="F93" i="2"/>
  <c r="G93" i="2" s="1"/>
  <c r="H93" i="2" s="1"/>
  <c r="I19" i="2"/>
  <c r="N19" i="2" s="1"/>
  <c r="F94" i="2"/>
  <c r="G94" i="2" s="1"/>
  <c r="H94" i="2" s="1"/>
  <c r="D62" i="3"/>
  <c r="B162" i="3"/>
  <c r="B160" i="3"/>
  <c r="B164" i="3"/>
  <c r="B168" i="3"/>
  <c r="B166" i="3"/>
  <c r="B159" i="3"/>
  <c r="B161" i="3"/>
  <c r="B165" i="3"/>
  <c r="B163" i="3"/>
  <c r="B167" i="3"/>
  <c r="E95" i="2"/>
  <c r="B169" i="3"/>
  <c r="E92" i="2"/>
  <c r="E93" i="2"/>
  <c r="K19" i="2"/>
  <c r="B24" i="2" s="1"/>
  <c r="J19" i="2"/>
  <c r="E94" i="2"/>
  <c r="I91" i="2"/>
  <c r="J91" i="2" s="1"/>
  <c r="K91" i="2"/>
  <c r="D69" i="3"/>
  <c r="K90" i="2"/>
  <c r="I90" i="2"/>
  <c r="J90" i="2" s="1"/>
  <c r="D64" i="3"/>
  <c r="K56" i="2"/>
  <c r="I56" i="2"/>
  <c r="J56" i="2" s="1"/>
  <c r="B76" i="3"/>
  <c r="B74" i="3"/>
  <c r="B72" i="3"/>
  <c r="B81" i="3"/>
  <c r="B79" i="3"/>
  <c r="B77" i="3"/>
  <c r="B75" i="3"/>
  <c r="B73" i="3"/>
  <c r="B71" i="3"/>
  <c r="B80" i="3"/>
  <c r="E60" i="2"/>
  <c r="B78" i="3"/>
  <c r="E61" i="2"/>
  <c r="E62" i="2"/>
  <c r="E63" i="2"/>
  <c r="K11" i="2"/>
  <c r="B23" i="2" s="1"/>
  <c r="J11" i="2"/>
  <c r="K89" i="2"/>
  <c r="I89" i="2"/>
  <c r="J89" i="2" s="1"/>
  <c r="L17" i="2"/>
  <c r="F81" i="3"/>
  <c r="C81" i="3" s="1"/>
  <c r="E81" i="3" s="1"/>
  <c r="F79" i="3"/>
  <c r="C79" i="3" s="1"/>
  <c r="E79" i="3" s="1"/>
  <c r="F77" i="3"/>
  <c r="C77" i="3" s="1"/>
  <c r="E77" i="3" s="1"/>
  <c r="F75" i="3"/>
  <c r="C75" i="3" s="1"/>
  <c r="E75" i="3" s="1"/>
  <c r="F73" i="3"/>
  <c r="C73" i="3" s="1"/>
  <c r="E73" i="3" s="1"/>
  <c r="F71" i="3"/>
  <c r="C71" i="3" s="1"/>
  <c r="E71" i="3" s="1"/>
  <c r="F80" i="3"/>
  <c r="C80" i="3" s="1"/>
  <c r="E80" i="3" s="1"/>
  <c r="F78" i="3"/>
  <c r="C78" i="3" s="1"/>
  <c r="E78" i="3" s="1"/>
  <c r="F76" i="3"/>
  <c r="C76" i="3" s="1"/>
  <c r="E76" i="3" s="1"/>
  <c r="F74" i="3"/>
  <c r="C74" i="3" s="1"/>
  <c r="E74" i="3" s="1"/>
  <c r="F72" i="3"/>
  <c r="C72" i="3" s="1"/>
  <c r="E72" i="3" s="1"/>
  <c r="F60" i="2"/>
  <c r="G60" i="2" s="1"/>
  <c r="H60" i="2" s="1"/>
  <c r="F61" i="2"/>
  <c r="G61" i="2" s="1"/>
  <c r="H61" i="2" s="1"/>
  <c r="F62" i="2"/>
  <c r="G62" i="2" s="1"/>
  <c r="H62" i="2" s="1"/>
  <c r="F63" i="2"/>
  <c r="G63" i="2" s="1"/>
  <c r="H63" i="2" s="1"/>
  <c r="I11" i="2"/>
  <c r="N11" i="2"/>
  <c r="D66" i="3"/>
  <c r="A117" i="3" l="1"/>
  <c r="A115" i="3"/>
  <c r="A119" i="3"/>
  <c r="A122" i="3"/>
  <c r="A120" i="3"/>
  <c r="H16" i="2"/>
  <c r="A124" i="3"/>
  <c r="A121" i="3"/>
  <c r="A118" i="3"/>
  <c r="A125" i="3"/>
  <c r="A116" i="3"/>
  <c r="A123" i="3"/>
  <c r="D80" i="3"/>
  <c r="D78" i="3"/>
  <c r="D169" i="3"/>
  <c r="D74" i="3"/>
  <c r="D160" i="3"/>
  <c r="D165" i="3"/>
  <c r="D73" i="3"/>
  <c r="B28" i="2"/>
  <c r="B31" i="2" s="1"/>
  <c r="D75" i="3"/>
  <c r="L10" i="2"/>
  <c r="D163" i="3"/>
  <c r="D77" i="3"/>
  <c r="D79" i="3"/>
  <c r="D161" i="3"/>
  <c r="K95" i="2"/>
  <c r="I95" i="2"/>
  <c r="J95" i="2" s="1"/>
  <c r="L18" i="2"/>
  <c r="D71" i="3"/>
  <c r="M18" i="2"/>
  <c r="K63" i="2"/>
  <c r="I63" i="2"/>
  <c r="J63" i="2" s="1"/>
  <c r="K62" i="2"/>
  <c r="I62" i="2"/>
  <c r="J62" i="2" s="1"/>
  <c r="D159" i="3"/>
  <c r="B27" i="2"/>
  <c r="D81" i="3"/>
  <c r="K60" i="2"/>
  <c r="I60" i="2"/>
  <c r="J60" i="2" s="1"/>
  <c r="K94" i="2"/>
  <c r="I94" i="2"/>
  <c r="J94" i="2" s="1"/>
  <c r="D168" i="3"/>
  <c r="M10" i="2"/>
  <c r="D72" i="3"/>
  <c r="D166" i="3"/>
  <c r="K93" i="2"/>
  <c r="I93" i="2"/>
  <c r="J93" i="2" s="1"/>
  <c r="D162" i="3"/>
  <c r="I61" i="2"/>
  <c r="J61" i="2" s="1"/>
  <c r="K61" i="2"/>
  <c r="D76" i="3"/>
  <c r="K92" i="2"/>
  <c r="I92" i="2"/>
  <c r="J92" i="2" s="1"/>
  <c r="D164" i="3"/>
  <c r="A130" i="3" l="1"/>
  <c r="A127" i="3"/>
  <c r="A133" i="3"/>
  <c r="A131" i="3"/>
  <c r="A129" i="3"/>
  <c r="A134" i="3"/>
  <c r="A132" i="3"/>
  <c r="A128" i="3"/>
  <c r="H17" i="2"/>
  <c r="A126" i="3"/>
  <c r="A135" i="3"/>
  <c r="A136" i="3"/>
  <c r="B32" i="2"/>
  <c r="L19" i="2"/>
  <c r="L11" i="2"/>
  <c r="M19" i="2"/>
  <c r="M11" i="2"/>
  <c r="M37" i="1"/>
  <c r="E56" i="1"/>
  <c r="B11" i="4" s="1"/>
  <c r="A145" i="3" l="1"/>
  <c r="A147" i="3"/>
  <c r="A142" i="3"/>
  <c r="A139" i="3"/>
  <c r="A143" i="3"/>
  <c r="A141" i="3"/>
  <c r="A137" i="3"/>
  <c r="A146" i="3"/>
  <c r="A144" i="3"/>
  <c r="A140" i="3"/>
  <c r="A138" i="3"/>
  <c r="H18" i="2"/>
  <c r="B26" i="2"/>
  <c r="B25" i="2"/>
  <c r="A157" i="3" l="1"/>
  <c r="A151" i="3"/>
  <c r="A152" i="3"/>
  <c r="A150" i="3"/>
  <c r="A155" i="3"/>
  <c r="H19" i="2"/>
  <c r="A154" i="3"/>
  <c r="A148" i="3"/>
  <c r="A156" i="3"/>
  <c r="A158" i="3"/>
  <c r="A153" i="3"/>
  <c r="A149" i="3"/>
  <c r="B13" i="4"/>
  <c r="M36" i="1"/>
  <c r="B8" i="4"/>
  <c r="B30" i="2"/>
  <c r="B23" i="4" s="1"/>
  <c r="M34" i="1"/>
  <c r="M38" i="1" s="1"/>
  <c r="E27" i="1" s="1"/>
  <c r="A169" i="3" l="1"/>
  <c r="A163" i="3"/>
  <c r="A159" i="3"/>
  <c r="A165" i="3"/>
  <c r="A166" i="3"/>
  <c r="A160" i="3"/>
  <c r="A162" i="3"/>
  <c r="A164" i="3"/>
  <c r="A168" i="3"/>
  <c r="A161" i="3"/>
  <c r="A167" i="3"/>
</calcChain>
</file>

<file path=xl/sharedStrings.xml><?xml version="1.0" encoding="utf-8"?>
<sst xmlns="http://schemas.openxmlformats.org/spreadsheetml/2006/main" count="689" uniqueCount="336">
  <si>
    <t>Chu kỳ cùng hành trình; số liệu cột M theo ramp tuyến tính để đối chiếu</t>
  </si>
  <si>
    <t>STT</t>
  </si>
  <si>
    <t>Thông số</t>
  </si>
  <si>
    <t>Kí hiệu</t>
  </si>
  <si>
    <t>Công thức tính</t>
  </si>
  <si>
    <t>Giá trị</t>
  </si>
  <si>
    <t>Đơn vị</t>
  </si>
  <si>
    <t>Hàng đơn vị của STT trong ds lớp</t>
  </si>
  <si>
    <t>x</t>
  </si>
  <si>
    <t>Có tải</t>
  </si>
  <si>
    <t>Thời gian tăng tốc</t>
  </si>
  <si>
    <t>t1</t>
  </si>
  <si>
    <t>s</t>
  </si>
  <si>
    <t>Tải trọng định mức</t>
  </si>
  <si>
    <t>M</t>
  </si>
  <si>
    <t>kg</t>
  </si>
  <si>
    <t>Tăng đến giá trị vận tốc</t>
  </si>
  <si>
    <t>v1</t>
  </si>
  <si>
    <t>m/s</t>
  </si>
  <si>
    <t>Khối lượng cơ cấu nâng hạ</t>
  </si>
  <si>
    <t>m</t>
  </si>
  <si>
    <t>Gia tốc khi tăng tốc</t>
  </si>
  <si>
    <t>a1</t>
  </si>
  <si>
    <t>a1=v1/t1</t>
  </si>
  <si>
    <t>m/s^2</t>
  </si>
  <si>
    <t>Chiều cao nâng</t>
  </si>
  <si>
    <t>h</t>
  </si>
  <si>
    <t>Lực khi tăng tốc</t>
  </si>
  <si>
    <t>Ft1</t>
  </si>
  <si>
    <t>Ft1=(M+m)*(mu*g+a1)</t>
  </si>
  <si>
    <t>N</t>
  </si>
  <si>
    <t>Tốc độ tối đa</t>
  </si>
  <si>
    <t>v</t>
  </si>
  <si>
    <t>Tốc độ trung bình khi tăng tốc</t>
  </si>
  <si>
    <t>vtb1</t>
  </si>
  <si>
    <t>vtb1=s1/t1=1/2*a1*t1</t>
  </si>
  <si>
    <t>Gia tốc cực đại</t>
  </si>
  <si>
    <t>a</t>
  </si>
  <si>
    <t>Công suất trung bình khi tăng tốc</t>
  </si>
  <si>
    <t>P1</t>
  </si>
  <si>
    <t>P1=Ft1*vtb1</t>
  </si>
  <si>
    <t>W</t>
  </si>
  <si>
    <t>Độ giật cực đại</t>
  </si>
  <si>
    <t>rô</t>
  </si>
  <si>
    <t>m/s^3</t>
  </si>
  <si>
    <t>Thời gian cđ thẳng đều</t>
  </si>
  <si>
    <t>t2</t>
  </si>
  <si>
    <t>Đường kính bánh xe</t>
  </si>
  <si>
    <t>d</t>
  </si>
  <si>
    <t>Lực khi cđ đều</t>
  </si>
  <si>
    <t>F2</t>
  </si>
  <si>
    <t>F2=(M+m)*mu*g</t>
  </si>
  <si>
    <t>Tỷ số truyền</t>
  </si>
  <si>
    <t>i</t>
  </si>
  <si>
    <t>Công suất trung bình khi cđ đều</t>
  </si>
  <si>
    <t>P2</t>
  </si>
  <si>
    <t>P2=F2*v1</t>
  </si>
  <si>
    <t>Hệ số ma sát trượt</t>
  </si>
  <si>
    <t>mu</t>
  </si>
  <si>
    <t>Thời gian giảm tốc</t>
  </si>
  <si>
    <t>t3</t>
  </si>
  <si>
    <t>Hiệu suất truyền động</t>
  </si>
  <si>
    <t>eta</t>
  </si>
  <si>
    <t>Gia tốc khi giảm tốc</t>
  </si>
  <si>
    <t>a2</t>
  </si>
  <si>
    <t>a2=-v1/t3</t>
  </si>
  <si>
    <t>Hệ số dự trữ</t>
  </si>
  <si>
    <t>k</t>
  </si>
  <si>
    <t>Lực khi giảm tốc</t>
  </si>
  <si>
    <t>Fg2</t>
  </si>
  <si>
    <t>Fg2=(M+m)*(mu*g+a2)</t>
  </si>
  <si>
    <t>Gia tốc trọng trường</t>
  </si>
  <si>
    <t>g</t>
  </si>
  <si>
    <t>Tốc độ trung bình khi giảm tốc</t>
  </si>
  <si>
    <t>vtb2</t>
  </si>
  <si>
    <t>vtb2=-1/2*a2*t3</t>
  </si>
  <si>
    <t>Lực phát động của động cơ</t>
  </si>
  <si>
    <t>F</t>
  </si>
  <si>
    <t>F=(M+m)*(mu*g+a)</t>
  </si>
  <si>
    <t>Công suất trung bình khi giảm tốc</t>
  </si>
  <si>
    <t>P3</t>
  </si>
  <si>
    <t>P3=Fg2*vtb2</t>
  </si>
  <si>
    <t>Momen trên trục bánh xe</t>
  </si>
  <si>
    <t>T</t>
  </si>
  <si>
    <t>T=F*d/2</t>
  </si>
  <si>
    <t>Nm</t>
  </si>
  <si>
    <t>Thời gian nghỉ</t>
  </si>
  <si>
    <t>denta t</t>
  </si>
  <si>
    <t>Momen trên trục động cơ</t>
  </si>
  <si>
    <t>Tdc</t>
  </si>
  <si>
    <t>Tdc=k*T/(eta*i)</t>
  </si>
  <si>
    <t>Không tải</t>
  </si>
  <si>
    <t>t4</t>
  </si>
  <si>
    <t>Tốc độ góc bánh xe</t>
  </si>
  <si>
    <t>omega</t>
  </si>
  <si>
    <t>omega=2*v/d</t>
  </si>
  <si>
    <t>rad/s</t>
  </si>
  <si>
    <t>Tốc độ quay bánh xe</t>
  </si>
  <si>
    <t>n</t>
  </si>
  <si>
    <t>n=(60*omega/2pi)</t>
  </si>
  <si>
    <t>rpm</t>
  </si>
  <si>
    <t>a3</t>
  </si>
  <si>
    <t>a3=v1/t4</t>
  </si>
  <si>
    <t>Tốc độ quay động cơ</t>
  </si>
  <si>
    <t>ndc</t>
  </si>
  <si>
    <t>ndc=n*i</t>
  </si>
  <si>
    <t>Ft2</t>
  </si>
  <si>
    <t>Ft2=m*(mu*g+a3)</t>
  </si>
  <si>
    <t>Công suất động cơ cần thiết</t>
  </si>
  <si>
    <t>P</t>
  </si>
  <si>
    <t>vtb3</t>
  </si>
  <si>
    <t>vtb3=1/2*a3*t4</t>
  </si>
  <si>
    <t>P4</t>
  </si>
  <si>
    <t>P4=Ft2*vtb3</t>
  </si>
  <si>
    <t>Cần lựa chọn động cơ thỏa mãn</t>
  </si>
  <si>
    <t>P&gt;</t>
  </si>
  <si>
    <t>t5</t>
  </si>
  <si>
    <t>ndc&gt;</t>
  </si>
  <si>
    <t>F2=m*mu*g</t>
  </si>
  <si>
    <t>Tdc&gt;</t>
  </si>
  <si>
    <t>P5</t>
  </si>
  <si>
    <t>P5=F2*v1</t>
  </si>
  <si>
    <t>t6</t>
  </si>
  <si>
    <t>a4</t>
  </si>
  <si>
    <t>a4=-v1/t6</t>
  </si>
  <si>
    <t>Thông số động cơ</t>
  </si>
  <si>
    <t>Fg2=m*(mu*g+a4)</t>
  </si>
  <si>
    <t>Ký hiệu</t>
  </si>
  <si>
    <t>vtb4</t>
  </si>
  <si>
    <t>vtb4=-1/2*a4*t6</t>
  </si>
  <si>
    <t>P6</t>
  </si>
  <si>
    <t>P6=Fg2*vtb4</t>
  </si>
  <si>
    <t>Công suất định mức</t>
  </si>
  <si>
    <t>kW</t>
  </si>
  <si>
    <t>Pđm</t>
  </si>
  <si>
    <t>Công suất hiệu dụng trục motor S-curve</t>
  </si>
  <si>
    <t>Phd</t>
  </si>
  <si>
    <t>sqrt(∫ P_motor² dt / Tck)</t>
  </si>
  <si>
    <t>Điện áp dây định mức</t>
  </si>
  <si>
    <t>V</t>
  </si>
  <si>
    <t>U1đm</t>
  </si>
  <si>
    <t>Tốc độ góc motor làm việc</t>
  </si>
  <si>
    <t>omega m</t>
  </si>
  <si>
    <t>omega m=v/r*i=2v*i/d</t>
  </si>
  <si>
    <t>Tốc độ định mức</t>
  </si>
  <si>
    <t>r/min</t>
  </si>
  <si>
    <t>nđm</t>
  </si>
  <si>
    <t>Mô-men RMS motor S-curve</t>
  </si>
  <si>
    <t>Thd</t>
  </si>
  <si>
    <t>sqrt(∫ M_motor² dt / Tck)</t>
  </si>
  <si>
    <t>Hiệu suất 100% tải</t>
  </si>
  <si>
    <t>%</t>
  </si>
  <si>
    <t>Mô-men yêu cầu đỉnh theo quỹ đạo</t>
  </si>
  <si>
    <t>Tm</t>
  </si>
  <si>
    <t>Gồm quán tính rotor; xem Chu_ky</t>
  </si>
  <si>
    <t>Hiệu suất 75% tải</t>
  </si>
  <si>
    <t>Công suất hiệu dụng có dự trữ</t>
  </si>
  <si>
    <t>Pchon</t>
  </si>
  <si>
    <t>k × P_hd,motor; không chia η thêm</t>
  </si>
  <si>
    <t>Hiệu suất 50% tải</t>
  </si>
  <si>
    <t>Hệ số công suất</t>
  </si>
  <si>
    <t>cosphi</t>
  </si>
  <si>
    <t>Công suất RMS theo P trung bình kiểu mẫu</t>
  </si>
  <si>
    <t>Dòng điện stator định mức</t>
  </si>
  <si>
    <t>A</t>
  </si>
  <si>
    <t>I1đm</t>
  </si>
  <si>
    <t>Hành trình có tải</t>
  </si>
  <si>
    <t>Dòng điện stator khởi động</t>
  </si>
  <si>
    <t>Is</t>
  </si>
  <si>
    <t>Hành trình không tải</t>
  </si>
  <si>
    <t>Momen định mức</t>
  </si>
  <si>
    <t>Tn</t>
  </si>
  <si>
    <t>Công suất nếu lặp lỗi chia η hai lần</t>
  </si>
  <si>
    <t>Momen khởi động</t>
  </si>
  <si>
    <t>Ts</t>
  </si>
  <si>
    <t>Momen tới hạn</t>
  </si>
  <si>
    <t>Tmax</t>
  </si>
  <si>
    <t>Tần số định mức</t>
  </si>
  <si>
    <t>Hz</t>
  </si>
  <si>
    <t>Số cặp cực</t>
  </si>
  <si>
    <t>cặp</t>
  </si>
  <si>
    <t>Momen quán tính</t>
  </si>
  <si>
    <t>kgm^2</t>
  </si>
  <si>
    <t>J</t>
  </si>
  <si>
    <t>Khối lượng</t>
  </si>
  <si>
    <t>Khối lượng bổ sung chưa có dữ liệu</t>
  </si>
  <si>
    <t>Quán tính phanh quy về motor chưa có số liệu</t>
  </si>
  <si>
    <t>kg·m²</t>
  </si>
  <si>
    <t>Quán tính bánh tại trục bánh chưa có số liệu</t>
  </si>
  <si>
    <t>Quán tính tải quy đổi động học</t>
  </si>
  <si>
    <t>Hệ số quán tính động lực gồm tổn hao</t>
  </si>
  <si>
    <t>Mô-men đỉnh S-curve có dự trữ</t>
  </si>
  <si>
    <t>N·m</t>
  </si>
  <si>
    <t>Bao mô-men ở a_lim, gồm quán tính quay</t>
  </si>
  <si>
    <t>Thời gian jerk mỗi đầu ramp</t>
  </si>
  <si>
    <t>Tỷ số quá tải yêu cầu ở a_lim</t>
  </si>
  <si>
    <t>Chu kỳ tính toán</t>
  </si>
  <si>
    <t>Nguồn: Tính toán thông số động cơ.xlsx, sheet Tính toán chi tiết động cơ a=1. Dữ liệu x=3 nằm trong Copy of Tính toán chi tiết động; x=6 có E5 ghi nhầm 1.</t>
  </si>
  <si>
    <t>x là chữ số của đề: Q=10000+1111x; m=200+11x; h=10+x; v=0,1+0,01x. Các thiết kế i và η không nội suy theo x.</t>
  </si>
  <si>
    <t>Giữ μ=0,2 theo mô hình bài tập. Không đồng nhất μ cản với hệ số bám ray. Kết quả này chưa chứng minh cơ cấu bánh–ray đủ bám khi chế tạo.</t>
  </si>
  <si>
    <t>Mẫu chia η lần nữa ở E24; bản sửa dùng P=Mω. Mẫu lấy P trung bình để RMS; bản sửa tích phân P(t)² ở trục motor.</t>
  </si>
  <si>
    <t>Giữ T_tăng=2 s, T_đều có tải=80 s, T_giảm có tải=10 s, nghỉ=30 s, T_giảm không tải=5 s; sửa chạy đều không tải thành 82,5 s để hai lượt cùng 10,32 m.</t>
  </si>
  <si>
    <t>Các số 0 tại E51:E53 là dữ liệu chưa có, không khẳng định khối lượng khung và quán tính phanh/bánh bằng 0. Nhập số thực trước khi chốt.</t>
  </si>
  <si>
    <t>Giới hạn jerk được kiểm tra bằng S-curve tj=0,25 s. Các lực/công suất đoạn ở cột M phần trên là giá trị ramp tuyến tính để đối chiếu mẫu.</t>
  </si>
  <si>
    <t>CHU KỲ x = 2 — S-CURVE VÀ TÍCH PHÂN CÔNG SUẤT</t>
  </si>
  <si>
    <t>Có tải đi → nghỉ 30 s → không tải về. Khoảng đi và về bằng nhau. P và M tính tại trục motor.</t>
  </si>
  <si>
    <t>Pha</t>
  </si>
  <si>
    <t>Δt (s)</t>
  </si>
  <si>
    <t>Khối lượng (kg)</t>
  </si>
  <si>
    <t>Chiều</t>
  </si>
  <si>
    <t>j (m/s³)</t>
  </si>
  <si>
    <t>a đầu</t>
  </si>
  <si>
    <t>v đầu</t>
  </si>
  <si>
    <t>t đầu</t>
  </si>
  <si>
    <t>a cuối</t>
  </si>
  <si>
    <t>v cuối</t>
  </si>
  <si>
    <t>S (m)</t>
  </si>
  <si>
    <t>∫P²dt</t>
  </si>
  <si>
    <t>∫M²dt</t>
  </si>
  <si>
    <t>|M| đỉnh</t>
  </si>
  <si>
    <t>Có tải tăng j+</t>
  </si>
  <si>
    <t>Có tải tăng a</t>
  </si>
  <si>
    <t>Có tải tăng j-</t>
  </si>
  <si>
    <t>Có tải đều</t>
  </si>
  <si>
    <t>Có tải giảm j-</t>
  </si>
  <si>
    <t>Có tải giảm a</t>
  </si>
  <si>
    <t>Có tải giảm j+</t>
  </si>
  <si>
    <t>Nghỉ</t>
  </si>
  <si>
    <t>Không tải tăng j+</t>
  </si>
  <si>
    <t>Không tải tăng a</t>
  </si>
  <si>
    <t>Không tải tăng j-</t>
  </si>
  <si>
    <t>Không tải đều</t>
  </si>
  <si>
    <t>Không tải giảm j-</t>
  </si>
  <si>
    <t>Không tải giảm a</t>
  </si>
  <si>
    <t>Không tải giảm j+</t>
  </si>
  <si>
    <t>Thời gian chu kỳ</t>
  </si>
  <si>
    <t>Quãng đường đi</t>
  </si>
  <si>
    <t>Quãng đường về</t>
  </si>
  <si>
    <t>Công suất hiệu dụng motor</t>
  </si>
  <si>
    <t>Mô-men RMS motor</t>
  </si>
  <si>
    <t>Mô-men motor đỉnh</t>
  </si>
  <si>
    <t>Gia tốc lớn nhất</t>
  </si>
  <si>
    <t>m/s²</t>
  </si>
  <si>
    <t>Jerk lớn nhất</t>
  </si>
  <si>
    <t>m/s³</t>
  </si>
  <si>
    <t>Kiểm tra quỹ đạo</t>
  </si>
  <si>
    <t>Mô hình lực cản khi giảm tốc</t>
  </si>
  <si>
    <t>Tích phân Gauss 4 điểm cho mỗi pha: chính xác cho P² là đa thức bậc ≤ 6; công suất trung bình không thay cho RMS.</t>
  </si>
  <si>
    <t>Trọng số × Δt</t>
  </si>
  <si>
    <t>u</t>
  </si>
  <si>
    <t>τ (s)</t>
  </si>
  <si>
    <t>v dọc đường</t>
  </si>
  <si>
    <t>a dọc đường</t>
  </si>
  <si>
    <t>F có dấu</t>
  </si>
  <si>
    <t>M motor</t>
  </si>
  <si>
    <t>P motor</t>
  </si>
  <si>
    <t>P² × dt</t>
  </si>
  <si>
    <t>M² × dt</t>
  </si>
  <si>
    <t>ĐỒ THỊ ĐỦ HAI LƯỢT CÓ TẢI VÀ KHÔNG TẢI</t>
  </si>
  <si>
    <t>t (s)</t>
  </si>
  <si>
    <t>v (m/s)</t>
  </si>
  <si>
    <t>F (N)</t>
  </si>
  <si>
    <t>P motor (W)</t>
  </si>
  <si>
    <t>M motor (N·m)</t>
  </si>
  <si>
    <t>a (m/s²)</t>
  </si>
  <si>
    <t>KIỂM NGHIỆM ĐỘNG CƠ VÀ THIẾT BỊ THEO x = 2</t>
  </si>
  <si>
    <t>Hạng mục</t>
  </si>
  <si>
    <t>Kết quả / yêu cầu</t>
  </si>
  <si>
    <t>Cơ sở và trạng thái</t>
  </si>
  <si>
    <t>Động cơ theo sheet x=1</t>
  </si>
  <si>
    <t>M3AA 132ME 6</t>
  </si>
  <si>
    <t>Số liệu kế thừa mẫu, chưa xác minh lại catalog</t>
  </si>
  <si>
    <t>Motor tham khảo 5,5 kW</t>
  </si>
  <si>
    <t>Công suất thiết kế tải tịnh tiến</t>
  </si>
  <si>
    <t>Hiệu suất cơ khí chỉ dùng một lần</t>
  </si>
  <si>
    <t>Công suất hiệu dụng S-curve</t>
  </si>
  <si>
    <t>Tích phân toàn chu kỳ, đã gồm rotor</t>
  </si>
  <si>
    <t>Mô-men danh định</t>
  </si>
  <si>
    <t>Giá trị catalog chép trong sheet x=1</t>
  </si>
  <si>
    <t>Mô-men khởi động trực tiếp</t>
  </si>
  <si>
    <t>Không coi là mô-men sẵn có khi chạy VFD</t>
  </si>
  <si>
    <t>Mô-men quỹ đạo có dự trữ</t>
  </si>
  <si>
    <t>Kiểm tra vận hành T_tăng=2 s</t>
  </si>
  <si>
    <t>Bao mô-men a_lim có dự trữ</t>
  </si>
  <si>
    <t>Yêu cầu quá tải ngắn hạn nếu khai thác a=0,5</t>
  </si>
  <si>
    <t>Mô-men RMS</t>
  </si>
  <si>
    <t>Chỉ số nhiệt sơ bộ; cần đường cong nhiệt hãng</t>
  </si>
  <si>
    <t>Tỷ số quá tải bao trên</t>
  </si>
  <si>
    <t>Cần đối chiếu VFD và thời gian quá tải</t>
  </si>
  <si>
    <t>Dòng motor</t>
  </si>
  <si>
    <t>Theo sheet x=1</t>
  </si>
  <si>
    <t>Công suất VFD tối thiểu</t>
  </si>
  <si>
    <t>Theo yêu cầu ảnh</t>
  </si>
  <si>
    <t>Cấp VFD sơ bộ</t>
  </si>
  <si>
    <t>Chọn tiếp theo; chưa chốt mã và dòng HD</t>
  </si>
  <si>
    <t>Dòng bảo vệ tối thiểu theo đề</t>
  </si>
  <si>
    <t>Quy tắc bài tập; còn phối hợp bảo vệ VFD</t>
  </si>
  <si>
    <t>Cấp MCCB sơ bộ</t>
  </si>
  <si>
    <t>Chỉ theo ngưỡng 18 A; chưa chốt Icu, đặc tuyến</t>
  </si>
  <si>
    <t>Động năng có tải</t>
  </si>
  <si>
    <t>Giới hạn năng lượng cơ khi bỏ qua ma sát</t>
  </si>
  <si>
    <t>Năng lượng hãm có dự trữ</t>
  </si>
  <si>
    <t>Không đủ để chốt điện trở Ω và W</t>
  </si>
  <si>
    <t>Điện trở hãm</t>
  </si>
  <si>
    <t>Cần catalog VFD</t>
  </si>
  <si>
    <t>Ω</t>
  </si>
  <si>
    <t>R ≥ Rmin, kiểm tra Udc, P_xung và chu kỳ</t>
  </si>
  <si>
    <t>Kiểm tra motor cho quỹ đạo</t>
  </si>
  <si>
    <t>Chưa xác nhận phát nhiệt thực tế</t>
  </si>
  <si>
    <t>3,3</t>
  </si>
  <si>
    <t xml:space="preserve">kg </t>
  </si>
  <si>
    <t>Pchon=Pdm*kdutru/eta</t>
  </si>
  <si>
    <t>Công suất lựa chọn</t>
  </si>
  <si>
    <t>Tm=Fmax*r/(i*eta)         =(Fmax*d)/(2*i*eta)</t>
  </si>
  <si>
    <t>Momen mở máy</t>
  </si>
  <si>
    <t>Thd=Phd/omega m</t>
  </si>
  <si>
    <t>Momen hiệu dụng ứng với công suất hiệu dụng (Momen định mức)</t>
  </si>
  <si>
    <t>Tốc độ định mức của động cơ</t>
  </si>
  <si>
    <t>Phd=sqrt((P1^2*t1+P2^2*t2+P3^2*t3+P4^2*t5+P5^2*t6+P6^2*t7)/(t1+t2+t3+t4+t5+t6+T7))</t>
  </si>
  <si>
    <t>Công suất hiệu dụng của động cơ</t>
  </si>
  <si>
    <t>Chọn động cơ M3AA 132ME 6 như hình dưới</t>
  </si>
  <si>
    <t>P=(2pi/60)(Tdc*ndc/eta)</t>
  </si>
  <si>
    <t>Thiết kế truyền động cơ cấu xe con cầu trục với thông số như sau:</t>
  </si>
  <si>
    <t xml:space="preserve">Quãng đường di chuyển xấp xỉ 9m </t>
  </si>
  <si>
    <t>P &gt;</t>
  </si>
  <si>
    <t>ndc &gt;</t>
  </si>
  <si>
    <t>F = (M+m)*(mu*g+a)</t>
  </si>
  <si>
    <t>T = F*d/2</t>
  </si>
  <si>
    <t>Tdc = k*T/(eta*i)</t>
  </si>
  <si>
    <t>omega = 2*v/d</t>
  </si>
  <si>
    <t>n = (60*omega/2pi)</t>
  </si>
  <si>
    <t>ndc = n*i</t>
  </si>
  <si>
    <t>TÍNH TOÁN XE CON CẦU TRỤC</t>
  </si>
  <si>
    <t>THÔNG SỐ ĐỘNG CƠ</t>
  </si>
  <si>
    <t>Yêu cầu chọn động cơ</t>
  </si>
  <si>
    <t>delta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</si>
</sst>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d\.m"/>
  </numFmts>
  <fonts count="13">
    <font>
      <sz val="11"/>
      <name val="Carlito"/>
    </font>
    <font>
      <sz val="11"/>
      <name val="Arial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Aptos Narrow"/>
    </font>
    <font>
      <sz val="13"/>
      <color theme="1"/>
      <name val="Times New Roman"/>
    </font>
    <font>
      <sz val="11"/>
      <color theme="1"/>
      <name val="Arial"/>
    </font>
    <font>
      <sz val="13"/>
      <color rgb="FF000000"/>
      <name val="&quot;Times New Roman&quot;"/>
    </font>
    <font>
      <sz val="11"/>
      <color rgb="FF000000"/>
      <name val="Arial"/>
    </font>
    <font>
      <sz val="10"/>
      <name val="Arial"/>
    </font>
    <font>
      <sz val="11"/>
      <color rgb="FFFF0000"/>
      <name val="Arial"/>
    </font>
    <font>
      <sz val="13"/>
      <name val="Times New Roman"/>
      <family val="1"/>
    </font>
    <font>
      <b/>
      <sz val="16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BFE5F2"/>
      </patternFill>
    </fill>
    <fill>
      <patternFill patternType="solid">
        <fgColor rgb="FFD8EAD0"/>
      </patternFill>
    </fill>
    <fill>
      <patternFill patternType="solid">
        <fgColor rgb="FFCBDAF4"/>
      </patternFill>
    </fill>
    <fill>
      <patternFill patternType="solid">
        <fgColor rgb="FFEBD4DF"/>
      </patternFill>
    </fill>
    <fill>
      <patternFill patternType="solid">
        <f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B5E6A2"/>
        <bgColor rgb="FFB5E6A2"/>
      </patternFill>
    </fill>
    <fill>
      <patternFill patternType="solid">
        <fgColor rgb="FFF2CEEF"/>
        <bgColor rgb="FFF2CEE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0" fillId="0" borderId="0" xfId="0" applyNumberFormat="1"/>
    <xf numFmtId="0" fontId="0" fillId="2" borderId="0" xfId="0" applyFill="1"/>
    <xf numFmtId="165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0" borderId="0" xfId="1"/>
    <xf numFmtId="0" fontId="3" fillId="0" borderId="0" xfId="1" applyFont="1"/>
    <xf numFmtId="3" fontId="3" fillId="0" borderId="0" xfId="1" applyNumberFormat="1" applyFont="1"/>
    <xf numFmtId="0" fontId="4" fillId="0" borderId="1" xfId="1" applyFont="1" applyBorder="1"/>
    <xf numFmtId="0" fontId="5" fillId="0" borderId="1" xfId="1" applyFont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4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5" fillId="7" borderId="1" xfId="1" applyFont="1" applyFill="1" applyBorder="1" applyAlignment="1">
      <alignment horizontal="center" wrapText="1"/>
    </xf>
    <xf numFmtId="0" fontId="7" fillId="7" borderId="1" xfId="1" applyFont="1" applyFill="1" applyBorder="1" applyAlignment="1">
      <alignment horizontal="center"/>
    </xf>
    <xf numFmtId="0" fontId="7" fillId="7" borderId="1" xfId="1" applyFont="1" applyFill="1" applyBorder="1" applyAlignment="1">
      <alignment horizontal="right"/>
    </xf>
    <xf numFmtId="0" fontId="7" fillId="0" borderId="0" xfId="1" applyFont="1" applyAlignment="1">
      <alignment horizontal="center"/>
    </xf>
    <xf numFmtId="0" fontId="8" fillId="0" borderId="0" xfId="1" applyFont="1"/>
    <xf numFmtId="0" fontId="7" fillId="8" borderId="1" xfId="1" applyFont="1" applyFill="1" applyBorder="1" applyAlignment="1">
      <alignment horizontal="center"/>
    </xf>
    <xf numFmtId="0" fontId="7" fillId="8" borderId="1" xfId="1" applyFont="1" applyFill="1" applyBorder="1" applyAlignment="1">
      <alignment horizontal="right"/>
    </xf>
    <xf numFmtId="0" fontId="2" fillId="0" borderId="0" xfId="1"/>
    <xf numFmtId="166" fontId="4" fillId="0" borderId="1" xfId="1" applyNumberFormat="1" applyFont="1" applyBorder="1"/>
    <xf numFmtId="0" fontId="6" fillId="0" borderId="1" xfId="1" applyFont="1" applyBorder="1"/>
    <xf numFmtId="0" fontId="4" fillId="9" borderId="1" xfId="1" applyFont="1" applyFill="1" applyBorder="1"/>
    <xf numFmtId="0" fontId="9" fillId="0" borderId="2" xfId="1" applyFont="1" applyBorder="1"/>
    <xf numFmtId="0" fontId="9" fillId="0" borderId="3" xfId="1" applyFont="1" applyBorder="1"/>
    <xf numFmtId="0" fontId="6" fillId="9" borderId="4" xfId="1" applyFont="1" applyFill="1" applyBorder="1" applyAlignment="1">
      <alignment horizontal="center"/>
    </xf>
    <xf numFmtId="0" fontId="7" fillId="10" borderId="1" xfId="1" applyFont="1" applyFill="1" applyBorder="1" applyAlignment="1">
      <alignment horizontal="center"/>
    </xf>
    <xf numFmtId="0" fontId="7" fillId="10" borderId="1" xfId="1" applyFont="1" applyFill="1" applyBorder="1" applyAlignment="1">
      <alignment horizontal="right"/>
    </xf>
    <xf numFmtId="0" fontId="7" fillId="0" borderId="0" xfId="1" applyFont="1"/>
    <xf numFmtId="0" fontId="7" fillId="11" borderId="1" xfId="1" applyFont="1" applyFill="1" applyBorder="1"/>
    <xf numFmtId="0" fontId="7" fillId="11" borderId="1" xfId="1" applyFont="1" applyFill="1" applyBorder="1" applyAlignment="1">
      <alignment horizontal="right"/>
    </xf>
    <xf numFmtId="0" fontId="7" fillId="12" borderId="1" xfId="1" applyFont="1" applyFill="1" applyBorder="1" applyAlignment="1">
      <alignment horizontal="center"/>
    </xf>
    <xf numFmtId="0" fontId="7" fillId="12" borderId="1" xfId="1" applyFont="1" applyFill="1" applyBorder="1" applyAlignment="1">
      <alignment horizontal="right"/>
    </xf>
    <xf numFmtId="0" fontId="7" fillId="13" borderId="1" xfId="1" applyFont="1" applyFill="1" applyBorder="1" applyAlignment="1">
      <alignment horizontal="center"/>
    </xf>
    <xf numFmtId="0" fontId="7" fillId="10" borderId="0" xfId="1" applyFont="1" applyFill="1" applyAlignment="1">
      <alignment horizontal="center" vertical="center"/>
    </xf>
    <xf numFmtId="0" fontId="7" fillId="9" borderId="1" xfId="1" applyFont="1" applyFill="1" applyBorder="1" applyAlignment="1">
      <alignment horizontal="center"/>
    </xf>
    <xf numFmtId="0" fontId="7" fillId="9" borderId="1" xfId="1" applyFont="1" applyFill="1" applyBorder="1" applyAlignment="1">
      <alignment horizontal="right"/>
    </xf>
    <xf numFmtId="0" fontId="10" fillId="0" borderId="0" xfId="1" applyFont="1"/>
    <xf numFmtId="0" fontId="7" fillId="14" borderId="1" xfId="1" applyFont="1" applyFill="1" applyBorder="1" applyAlignment="1">
      <alignment horizontal="center"/>
    </xf>
    <xf numFmtId="0" fontId="7" fillId="15" borderId="1" xfId="1" applyFont="1" applyFill="1" applyBorder="1" applyAlignment="1">
      <alignment horizontal="center"/>
    </xf>
    <xf numFmtId="0" fontId="7" fillId="16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11" fillId="2" borderId="5" xfId="0" applyFont="1" applyFill="1" applyBorder="1" applyAlignment="1">
      <alignment vertical="center" wrapText="1"/>
    </xf>
    <xf numFmtId="164" fontId="11" fillId="6" borderId="5" xfId="0" applyNumberFormat="1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164" fontId="11" fillId="4" borderId="5" xfId="0" applyNumberFormat="1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3" fontId="11" fillId="3" borderId="5" xfId="0" applyNumberFormat="1" applyFont="1" applyFill="1" applyBorder="1" applyAlignment="1">
      <alignment horizontal="center" vertical="center" wrapText="1"/>
    </xf>
    <xf numFmtId="0" fontId="11" fillId="3" borderId="5" xfId="0" applyNumberFormat="1" applyFont="1" applyFill="1" applyBorder="1" applyAlignment="1">
      <alignment horizontal="center" vertical="center" wrapText="1"/>
    </xf>
    <xf numFmtId="0" fontId="11" fillId="4" borderId="5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164" fontId="11" fillId="0" borderId="5" xfId="0" applyNumberFormat="1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2" fontId="11" fillId="5" borderId="5" xfId="0" applyNumberFormat="1" applyFont="1" applyFill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 wrapText="1"/>
    </xf>
  </cellXfs>
  <cellStyles count="2">
    <cellStyle name="Normal" xfId="0" builtinId="0"/>
    <cellStyle name="Normal 2" xfId="1" xr:uid="{473655D0-5EFC-4D1A-A871-3897E23BF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Vận tốc v(t) [m/s]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 (m/s)</c:v>
          </c:tx>
          <c:spPr>
            <a:ln w="19050">
              <a:solidFill>
                <a:srgbClr val="1F4E78"/>
              </a:solidFill>
              <a:prstDash val="solid"/>
            </a:ln>
          </c:spPr>
          <c:xVal>
            <c:numRef>
              <c:f>Do_thi!$A$5:$A$169</c:f>
              <c:numCache>
                <c:formatCode>General</c:formatCode>
                <c:ptCount val="16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0.25</c:v>
                </c:pt>
                <c:pt idx="12">
                  <c:v>0.4</c:v>
                </c:pt>
                <c:pt idx="13">
                  <c:v>0.55000000000000004</c:v>
                </c:pt>
                <c:pt idx="14">
                  <c:v>0.7</c:v>
                </c:pt>
                <c:pt idx="15">
                  <c:v>0.85</c:v>
                </c:pt>
                <c:pt idx="16">
                  <c:v>1</c:v>
                </c:pt>
                <c:pt idx="17">
                  <c:v>1.1499999999999999</c:v>
                </c:pt>
                <c:pt idx="18">
                  <c:v>1.3</c:v>
                </c:pt>
                <c:pt idx="19">
                  <c:v>1.45</c:v>
                </c:pt>
                <c:pt idx="20">
                  <c:v>1.6</c:v>
                </c:pt>
                <c:pt idx="21">
                  <c:v>1.75</c:v>
                </c:pt>
                <c:pt idx="22">
                  <c:v>1.75</c:v>
                </c:pt>
                <c:pt idx="23">
                  <c:v>1.7749999999999999</c:v>
                </c:pt>
                <c:pt idx="24">
                  <c:v>1.8</c:v>
                </c:pt>
                <c:pt idx="25">
                  <c:v>1.825</c:v>
                </c:pt>
                <c:pt idx="26">
                  <c:v>1.85</c:v>
                </c:pt>
                <c:pt idx="27">
                  <c:v>1.875</c:v>
                </c:pt>
                <c:pt idx="28">
                  <c:v>1.9</c:v>
                </c:pt>
                <c:pt idx="29">
                  <c:v>1.925</c:v>
                </c:pt>
                <c:pt idx="30">
                  <c:v>1.95</c:v>
                </c:pt>
                <c:pt idx="31">
                  <c:v>1.9750000000000001</c:v>
                </c:pt>
                <c:pt idx="32">
                  <c:v>2</c:v>
                </c:pt>
                <c:pt idx="33">
                  <c:v>2</c:v>
                </c:pt>
                <c:pt idx="34">
                  <c:v>10</c:v>
                </c:pt>
                <c:pt idx="35">
                  <c:v>18</c:v>
                </c:pt>
                <c:pt idx="36">
                  <c:v>26</c:v>
                </c:pt>
                <c:pt idx="37">
                  <c:v>34</c:v>
                </c:pt>
                <c:pt idx="38">
                  <c:v>42</c:v>
                </c:pt>
                <c:pt idx="39">
                  <c:v>50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82</c:v>
                </c:pt>
                <c:pt idx="44">
                  <c:v>82</c:v>
                </c:pt>
                <c:pt idx="45">
                  <c:v>82.025000000000006</c:v>
                </c:pt>
                <c:pt idx="46">
                  <c:v>82.05</c:v>
                </c:pt>
                <c:pt idx="47">
                  <c:v>82.075000000000003</c:v>
                </c:pt>
                <c:pt idx="48">
                  <c:v>82.1</c:v>
                </c:pt>
                <c:pt idx="49">
                  <c:v>82.125</c:v>
                </c:pt>
                <c:pt idx="50">
                  <c:v>82.15</c:v>
                </c:pt>
                <c:pt idx="51">
                  <c:v>82.174999999999997</c:v>
                </c:pt>
                <c:pt idx="52">
                  <c:v>82.2</c:v>
                </c:pt>
                <c:pt idx="53">
                  <c:v>82.224999999999994</c:v>
                </c:pt>
                <c:pt idx="54">
                  <c:v>82.25</c:v>
                </c:pt>
                <c:pt idx="55">
                  <c:v>82.25</c:v>
                </c:pt>
                <c:pt idx="56">
                  <c:v>83.2</c:v>
                </c:pt>
                <c:pt idx="57">
                  <c:v>84.15</c:v>
                </c:pt>
                <c:pt idx="58">
                  <c:v>85.1</c:v>
                </c:pt>
                <c:pt idx="59">
                  <c:v>86.05</c:v>
                </c:pt>
                <c:pt idx="60">
                  <c:v>87</c:v>
                </c:pt>
                <c:pt idx="61">
                  <c:v>87.95</c:v>
                </c:pt>
                <c:pt idx="62">
                  <c:v>88.9</c:v>
                </c:pt>
                <c:pt idx="63">
                  <c:v>89.85</c:v>
                </c:pt>
                <c:pt idx="64">
                  <c:v>90.8</c:v>
                </c:pt>
                <c:pt idx="65">
                  <c:v>91.75</c:v>
                </c:pt>
                <c:pt idx="66">
                  <c:v>91.75</c:v>
                </c:pt>
                <c:pt idx="67">
                  <c:v>91.775000000000006</c:v>
                </c:pt>
                <c:pt idx="68">
                  <c:v>91.8</c:v>
                </c:pt>
                <c:pt idx="69">
                  <c:v>91.825000000000003</c:v>
                </c:pt>
                <c:pt idx="70">
                  <c:v>91.85</c:v>
                </c:pt>
                <c:pt idx="71">
                  <c:v>91.875</c:v>
                </c:pt>
                <c:pt idx="72">
                  <c:v>91.9</c:v>
                </c:pt>
                <c:pt idx="73">
                  <c:v>91.924999999999997</c:v>
                </c:pt>
                <c:pt idx="74">
                  <c:v>91.95</c:v>
                </c:pt>
                <c:pt idx="75">
                  <c:v>91.974999999999994</c:v>
                </c:pt>
                <c:pt idx="76">
                  <c:v>92</c:v>
                </c:pt>
                <c:pt idx="77">
                  <c:v>92</c:v>
                </c:pt>
                <c:pt idx="78">
                  <c:v>95</c:v>
                </c:pt>
                <c:pt idx="79">
                  <c:v>98</c:v>
                </c:pt>
                <c:pt idx="80">
                  <c:v>101</c:v>
                </c:pt>
                <c:pt idx="81">
                  <c:v>104</c:v>
                </c:pt>
                <c:pt idx="82">
                  <c:v>107</c:v>
                </c:pt>
                <c:pt idx="83">
                  <c:v>110</c:v>
                </c:pt>
                <c:pt idx="84">
                  <c:v>113</c:v>
                </c:pt>
                <c:pt idx="85">
                  <c:v>116</c:v>
                </c:pt>
                <c:pt idx="86">
                  <c:v>119</c:v>
                </c:pt>
                <c:pt idx="87">
                  <c:v>122</c:v>
                </c:pt>
                <c:pt idx="88">
                  <c:v>122</c:v>
                </c:pt>
                <c:pt idx="89">
                  <c:v>122.02500000000001</c:v>
                </c:pt>
                <c:pt idx="90">
                  <c:v>122.05</c:v>
                </c:pt>
                <c:pt idx="91">
                  <c:v>122.075</c:v>
                </c:pt>
                <c:pt idx="92">
                  <c:v>122.1</c:v>
                </c:pt>
                <c:pt idx="93">
                  <c:v>122.125</c:v>
                </c:pt>
                <c:pt idx="94">
                  <c:v>122.15</c:v>
                </c:pt>
                <c:pt idx="95">
                  <c:v>122.175</c:v>
                </c:pt>
                <c:pt idx="96">
                  <c:v>122.2</c:v>
                </c:pt>
                <c:pt idx="97">
                  <c:v>122.22499999999999</c:v>
                </c:pt>
                <c:pt idx="98">
                  <c:v>122.25</c:v>
                </c:pt>
                <c:pt idx="99">
                  <c:v>122.25</c:v>
                </c:pt>
                <c:pt idx="100">
                  <c:v>122.4</c:v>
                </c:pt>
                <c:pt idx="101">
                  <c:v>122.55</c:v>
                </c:pt>
                <c:pt idx="102">
                  <c:v>122.7</c:v>
                </c:pt>
                <c:pt idx="103">
                  <c:v>122.85</c:v>
                </c:pt>
                <c:pt idx="104">
                  <c:v>123</c:v>
                </c:pt>
                <c:pt idx="105">
                  <c:v>123.15</c:v>
                </c:pt>
                <c:pt idx="106">
                  <c:v>123.3</c:v>
                </c:pt>
                <c:pt idx="107">
                  <c:v>123.45</c:v>
                </c:pt>
                <c:pt idx="108">
                  <c:v>123.6</c:v>
                </c:pt>
                <c:pt idx="109">
                  <c:v>123.75</c:v>
                </c:pt>
                <c:pt idx="110">
                  <c:v>123.75</c:v>
                </c:pt>
                <c:pt idx="111">
                  <c:v>123.77500000000001</c:v>
                </c:pt>
                <c:pt idx="112">
                  <c:v>123.8</c:v>
                </c:pt>
                <c:pt idx="113">
                  <c:v>123.825</c:v>
                </c:pt>
                <c:pt idx="114">
                  <c:v>123.85</c:v>
                </c:pt>
                <c:pt idx="115">
                  <c:v>123.875</c:v>
                </c:pt>
                <c:pt idx="116">
                  <c:v>123.9</c:v>
                </c:pt>
                <c:pt idx="117">
                  <c:v>123.925</c:v>
                </c:pt>
                <c:pt idx="118">
                  <c:v>123.95</c:v>
                </c:pt>
                <c:pt idx="119">
                  <c:v>123.97499999999999</c:v>
                </c:pt>
                <c:pt idx="120">
                  <c:v>124</c:v>
                </c:pt>
                <c:pt idx="121">
                  <c:v>124</c:v>
                </c:pt>
                <c:pt idx="122">
                  <c:v>132.25</c:v>
                </c:pt>
                <c:pt idx="123">
                  <c:v>140.5</c:v>
                </c:pt>
                <c:pt idx="124">
                  <c:v>148.75</c:v>
                </c:pt>
                <c:pt idx="125">
                  <c:v>157</c:v>
                </c:pt>
                <c:pt idx="126">
                  <c:v>165.25</c:v>
                </c:pt>
                <c:pt idx="127">
                  <c:v>173.5</c:v>
                </c:pt>
                <c:pt idx="128">
                  <c:v>181.75</c:v>
                </c:pt>
                <c:pt idx="129">
                  <c:v>190</c:v>
                </c:pt>
                <c:pt idx="130">
                  <c:v>198.25</c:v>
                </c:pt>
                <c:pt idx="131">
                  <c:v>206.5</c:v>
                </c:pt>
                <c:pt idx="132">
                  <c:v>206.5</c:v>
                </c:pt>
                <c:pt idx="133">
                  <c:v>206.52500000000001</c:v>
                </c:pt>
                <c:pt idx="134">
                  <c:v>206.55</c:v>
                </c:pt>
                <c:pt idx="135">
                  <c:v>206.57499999999999</c:v>
                </c:pt>
                <c:pt idx="136">
                  <c:v>206.6</c:v>
                </c:pt>
                <c:pt idx="137">
                  <c:v>206.625</c:v>
                </c:pt>
                <c:pt idx="138">
                  <c:v>206.65</c:v>
                </c:pt>
                <c:pt idx="139">
                  <c:v>206.67500000000001</c:v>
                </c:pt>
                <c:pt idx="140">
                  <c:v>206.7</c:v>
                </c:pt>
                <c:pt idx="141">
                  <c:v>206.72499999999999</c:v>
                </c:pt>
                <c:pt idx="142">
                  <c:v>206.75</c:v>
                </c:pt>
                <c:pt idx="143">
                  <c:v>206.75</c:v>
                </c:pt>
                <c:pt idx="144">
                  <c:v>207.2</c:v>
                </c:pt>
                <c:pt idx="145">
                  <c:v>207.65</c:v>
                </c:pt>
                <c:pt idx="146">
                  <c:v>208.1</c:v>
                </c:pt>
                <c:pt idx="147">
                  <c:v>208.55</c:v>
                </c:pt>
                <c:pt idx="148">
                  <c:v>209</c:v>
                </c:pt>
                <c:pt idx="149">
                  <c:v>209.45</c:v>
                </c:pt>
                <c:pt idx="150">
                  <c:v>209.9</c:v>
                </c:pt>
                <c:pt idx="151">
                  <c:v>210.35</c:v>
                </c:pt>
                <c:pt idx="152">
                  <c:v>210.8</c:v>
                </c:pt>
                <c:pt idx="153">
                  <c:v>211.25</c:v>
                </c:pt>
                <c:pt idx="154">
                  <c:v>211.25</c:v>
                </c:pt>
                <c:pt idx="155">
                  <c:v>211.27500000000001</c:v>
                </c:pt>
                <c:pt idx="156">
                  <c:v>211.3</c:v>
                </c:pt>
                <c:pt idx="157">
                  <c:v>211.32499999999999</c:v>
                </c:pt>
                <c:pt idx="158">
                  <c:v>211.35</c:v>
                </c:pt>
                <c:pt idx="159">
                  <c:v>211.375</c:v>
                </c:pt>
                <c:pt idx="160">
                  <c:v>211.4</c:v>
                </c:pt>
                <c:pt idx="161">
                  <c:v>211.42500000000001</c:v>
                </c:pt>
                <c:pt idx="162">
                  <c:v>211.45</c:v>
                </c:pt>
                <c:pt idx="163">
                  <c:v>211.47499999999999</c:v>
                </c:pt>
                <c:pt idx="164">
                  <c:v>211.5</c:v>
                </c:pt>
              </c:numCache>
            </c:numRef>
          </c:xVal>
          <c:yVal>
            <c:numRef>
              <c:f>Do_thi!$B$5:$B$169</c:f>
              <c:numCache>
                <c:formatCode>#,##0.0000</c:formatCode>
                <c:ptCount val="165"/>
                <c:pt idx="0">
                  <c:v>0</c:v>
                </c:pt>
                <c:pt idx="1">
                  <c:v>8.571428571428574E-5</c:v>
                </c:pt>
                <c:pt idx="2">
                  <c:v>3.4285714285714296E-4</c:v>
                </c:pt>
                <c:pt idx="3">
                  <c:v>7.7142857142857145E-4</c:v>
                </c:pt>
                <c:pt idx="4">
                  <c:v>1.3714285714285718E-3</c:v>
                </c:pt>
                <c:pt idx="5">
                  <c:v>2.142857142857143E-3</c:v>
                </c:pt>
                <c:pt idx="6">
                  <c:v>3.0857142857142858E-3</c:v>
                </c:pt>
                <c:pt idx="7">
                  <c:v>4.1999999999999997E-3</c:v>
                </c:pt>
                <c:pt idx="8">
                  <c:v>5.4857142857142873E-3</c:v>
                </c:pt>
                <c:pt idx="9">
                  <c:v>6.9428571428571438E-3</c:v>
                </c:pt>
                <c:pt idx="10">
                  <c:v>8.5714285714285719E-3</c:v>
                </c:pt>
                <c:pt idx="11">
                  <c:v>8.5714285714285719E-3</c:v>
                </c:pt>
                <c:pt idx="12">
                  <c:v>1.8857142857142857E-2</c:v>
                </c:pt>
                <c:pt idx="13">
                  <c:v>2.9142857142857144E-2</c:v>
                </c:pt>
                <c:pt idx="14">
                  <c:v>3.9428571428571431E-2</c:v>
                </c:pt>
                <c:pt idx="15">
                  <c:v>4.9714285714285711E-2</c:v>
                </c:pt>
                <c:pt idx="16">
                  <c:v>6.0000000000000005E-2</c:v>
                </c:pt>
                <c:pt idx="17">
                  <c:v>7.0285714285714299E-2</c:v>
                </c:pt>
                <c:pt idx="18">
                  <c:v>8.0571428571428585E-2</c:v>
                </c:pt>
                <c:pt idx="19">
                  <c:v>9.0857142857142859E-2</c:v>
                </c:pt>
                <c:pt idx="20">
                  <c:v>0.10114285714285716</c:v>
                </c:pt>
                <c:pt idx="21">
                  <c:v>0.11142857142857145</c:v>
                </c:pt>
                <c:pt idx="22">
                  <c:v>0.11142857142857145</c:v>
                </c:pt>
                <c:pt idx="23">
                  <c:v>0.11305714285714287</c:v>
                </c:pt>
                <c:pt idx="24">
                  <c:v>0.11451428571428574</c:v>
                </c:pt>
                <c:pt idx="25">
                  <c:v>0.11580000000000001</c:v>
                </c:pt>
                <c:pt idx="26">
                  <c:v>0.11691428571428573</c:v>
                </c:pt>
                <c:pt idx="27">
                  <c:v>0.11785714285714288</c:v>
                </c:pt>
                <c:pt idx="28">
                  <c:v>0.11862857142857144</c:v>
                </c:pt>
                <c:pt idx="29">
                  <c:v>0.11922857142857145</c:v>
                </c:pt>
                <c:pt idx="30">
                  <c:v>0.11965714285714288</c:v>
                </c:pt>
                <c:pt idx="31">
                  <c:v>0.11991428571428575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0.12000000000000001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0.1199846153846154</c:v>
                </c:pt>
                <c:pt idx="46">
                  <c:v>0.11993846153846155</c:v>
                </c:pt>
                <c:pt idx="47">
                  <c:v>0.11986153846153848</c:v>
                </c:pt>
                <c:pt idx="48">
                  <c:v>0.11975384615384617</c:v>
                </c:pt>
                <c:pt idx="49">
                  <c:v>0.11961538461538462</c:v>
                </c:pt>
                <c:pt idx="50">
                  <c:v>0.11944615384615385</c:v>
                </c:pt>
                <c:pt idx="51">
                  <c:v>0.11924615384615385</c:v>
                </c:pt>
                <c:pt idx="52">
                  <c:v>0.11901538461538462</c:v>
                </c:pt>
                <c:pt idx="53">
                  <c:v>0.11875384615384617</c:v>
                </c:pt>
                <c:pt idx="54">
                  <c:v>0.11846153846153847</c:v>
                </c:pt>
                <c:pt idx="55">
                  <c:v>0.11846153846153847</c:v>
                </c:pt>
                <c:pt idx="56">
                  <c:v>0.10676923076923077</c:v>
                </c:pt>
                <c:pt idx="57">
                  <c:v>9.5076923076923087E-2</c:v>
                </c:pt>
                <c:pt idx="58">
                  <c:v>8.338461538461539E-2</c:v>
                </c:pt>
                <c:pt idx="59">
                  <c:v>7.1692307692307694E-2</c:v>
                </c:pt>
                <c:pt idx="60">
                  <c:v>0.06</c:v>
                </c:pt>
                <c:pt idx="61">
                  <c:v>4.8307692307692301E-2</c:v>
                </c:pt>
                <c:pt idx="62">
                  <c:v>3.6615384615384605E-2</c:v>
                </c:pt>
                <c:pt idx="63">
                  <c:v>2.4923076923076923E-2</c:v>
                </c:pt>
                <c:pt idx="64">
                  <c:v>1.3230769230769213E-2</c:v>
                </c:pt>
                <c:pt idx="65">
                  <c:v>1.5384615384615302E-3</c:v>
                </c:pt>
                <c:pt idx="66">
                  <c:v>1.5384615384615302E-3</c:v>
                </c:pt>
                <c:pt idx="67">
                  <c:v>1.2461538461538378E-3</c:v>
                </c:pt>
                <c:pt idx="68">
                  <c:v>9.8461538461537632E-4</c:v>
                </c:pt>
                <c:pt idx="69">
                  <c:v>7.5384615384614553E-4</c:v>
                </c:pt>
                <c:pt idx="70">
                  <c:v>5.5384615384614544E-4</c:v>
                </c:pt>
                <c:pt idx="71">
                  <c:v>3.8461538461537621E-4</c:v>
                </c:pt>
                <c:pt idx="72">
                  <c:v>2.4615384615383779E-4</c:v>
                </c:pt>
                <c:pt idx="73">
                  <c:v>1.3846153846152991E-4</c:v>
                </c:pt>
                <c:pt idx="74">
                  <c:v>6.153846153845316E-5</c:v>
                </c:pt>
                <c:pt idx="75">
                  <c:v>1.5384615384607218E-5</c:v>
                </c:pt>
                <c:pt idx="76">
                  <c:v>-8.4567769453869346E-18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-8.571428571428574E-5</c:v>
                </c:pt>
                <c:pt idx="90">
                  <c:v>-3.4285714285714296E-4</c:v>
                </c:pt>
                <c:pt idx="91" formatCode="General">
                  <c:v>-7.7142857142857145E-4</c:v>
                </c:pt>
                <c:pt idx="92" formatCode="General">
                  <c:v>-1.3714285714285718E-3</c:v>
                </c:pt>
                <c:pt idx="93" formatCode="General">
                  <c:v>-2.142857142857143E-3</c:v>
                </c:pt>
                <c:pt idx="94" formatCode="General">
                  <c:v>-3.0857142857142858E-3</c:v>
                </c:pt>
                <c:pt idx="95" formatCode="General">
                  <c:v>-4.1999999999999997E-3</c:v>
                </c:pt>
                <c:pt idx="96" formatCode="General">
                  <c:v>-5.4857142857142873E-3</c:v>
                </c:pt>
                <c:pt idx="97" formatCode="General">
                  <c:v>-6.9428571428571438E-3</c:v>
                </c:pt>
                <c:pt idx="98" formatCode="General">
                  <c:v>-8.5714285714285719E-3</c:v>
                </c:pt>
                <c:pt idx="99" formatCode="General">
                  <c:v>-8.5714285714285719E-3</c:v>
                </c:pt>
                <c:pt idx="100" formatCode="General">
                  <c:v>-1.8857142857142857E-2</c:v>
                </c:pt>
                <c:pt idx="101" formatCode="General">
                  <c:v>-2.9142857142857144E-2</c:v>
                </c:pt>
                <c:pt idx="102" formatCode="General">
                  <c:v>-3.9428571428571431E-2</c:v>
                </c:pt>
                <c:pt idx="103" formatCode="General">
                  <c:v>-4.9714285714285711E-2</c:v>
                </c:pt>
                <c:pt idx="104" formatCode="General">
                  <c:v>-6.0000000000000005E-2</c:v>
                </c:pt>
                <c:pt idx="105" formatCode="General">
                  <c:v>-7.0285714285714299E-2</c:v>
                </c:pt>
                <c:pt idx="106" formatCode="General">
                  <c:v>-8.0571428571428585E-2</c:v>
                </c:pt>
                <c:pt idx="107" formatCode="General">
                  <c:v>-9.0857142857142859E-2</c:v>
                </c:pt>
                <c:pt idx="108" formatCode="General">
                  <c:v>-0.10114285714285716</c:v>
                </c:pt>
                <c:pt idx="109" formatCode="General">
                  <c:v>-0.11142857142857145</c:v>
                </c:pt>
                <c:pt idx="110" formatCode="General">
                  <c:v>-0.11142857142857145</c:v>
                </c:pt>
                <c:pt idx="111" formatCode="General">
                  <c:v>-0.11305714285714287</c:v>
                </c:pt>
                <c:pt idx="112" formatCode="General">
                  <c:v>-0.11451428571428574</c:v>
                </c:pt>
                <c:pt idx="113" formatCode="General">
                  <c:v>-0.11580000000000001</c:v>
                </c:pt>
                <c:pt idx="114" formatCode="General">
                  <c:v>-0.11691428571428573</c:v>
                </c:pt>
                <c:pt idx="115" formatCode="General">
                  <c:v>-0.11785714285714288</c:v>
                </c:pt>
                <c:pt idx="116" formatCode="General">
                  <c:v>-0.11862857142857144</c:v>
                </c:pt>
                <c:pt idx="117" formatCode="General">
                  <c:v>-0.11922857142857145</c:v>
                </c:pt>
                <c:pt idx="118" formatCode="General">
                  <c:v>-0.11965714285714288</c:v>
                </c:pt>
                <c:pt idx="119" formatCode="General">
                  <c:v>-0.11991428571428575</c:v>
                </c:pt>
                <c:pt idx="120" formatCode="General">
                  <c:v>-0.12000000000000001</c:v>
                </c:pt>
                <c:pt idx="121" formatCode="General">
                  <c:v>-0.12000000000000001</c:v>
                </c:pt>
                <c:pt idx="122" formatCode="General">
                  <c:v>-0.12000000000000001</c:v>
                </c:pt>
                <c:pt idx="123" formatCode="General">
                  <c:v>-0.12000000000000001</c:v>
                </c:pt>
                <c:pt idx="124" formatCode="General">
                  <c:v>-0.12000000000000001</c:v>
                </c:pt>
                <c:pt idx="125" formatCode="General">
                  <c:v>-0.12000000000000001</c:v>
                </c:pt>
                <c:pt idx="126" formatCode="General">
                  <c:v>-0.12000000000000001</c:v>
                </c:pt>
                <c:pt idx="127" formatCode="General">
                  <c:v>-0.12000000000000001</c:v>
                </c:pt>
                <c:pt idx="128" formatCode="General">
                  <c:v>-0.12000000000000001</c:v>
                </c:pt>
                <c:pt idx="129" formatCode="General">
                  <c:v>-0.12000000000000001</c:v>
                </c:pt>
                <c:pt idx="130" formatCode="General">
                  <c:v>-0.12000000000000001</c:v>
                </c:pt>
                <c:pt idx="131" formatCode="General">
                  <c:v>-0.12000000000000001</c:v>
                </c:pt>
                <c:pt idx="132" formatCode="General">
                  <c:v>-0.12000000000000001</c:v>
                </c:pt>
                <c:pt idx="133" formatCode="General">
                  <c:v>-0.11996842105263159</c:v>
                </c:pt>
                <c:pt idx="134" formatCode="General">
                  <c:v>-0.11987368421052633</c:v>
                </c:pt>
                <c:pt idx="135" formatCode="General">
                  <c:v>-0.11971578947368422</c:v>
                </c:pt>
                <c:pt idx="136" formatCode="General">
                  <c:v>-0.11949473684210528</c:v>
                </c:pt>
                <c:pt idx="137" formatCode="General">
                  <c:v>-0.11921052631578949</c:v>
                </c:pt>
                <c:pt idx="138" formatCode="General">
                  <c:v>-0.11886315789473685</c:v>
                </c:pt>
                <c:pt idx="139" formatCode="General">
                  <c:v>-0.11845263157894738</c:v>
                </c:pt>
                <c:pt idx="140" formatCode="General">
                  <c:v>-0.11797894736842106</c:v>
                </c:pt>
                <c:pt idx="141" formatCode="General">
                  <c:v>-0.1174421052631579</c:v>
                </c:pt>
                <c:pt idx="142" formatCode="General">
                  <c:v>-0.1168421052631579</c:v>
                </c:pt>
                <c:pt idx="143" formatCode="General">
                  <c:v>-0.1168421052631579</c:v>
                </c:pt>
                <c:pt idx="144" formatCode="General">
                  <c:v>-0.10547368421052632</c:v>
                </c:pt>
                <c:pt idx="145" formatCode="General">
                  <c:v>-9.4105263157894747E-2</c:v>
                </c:pt>
                <c:pt idx="146" formatCode="General">
                  <c:v>-8.2736842105263164E-2</c:v>
                </c:pt>
                <c:pt idx="147" formatCode="General">
                  <c:v>-7.1368421052631581E-2</c:v>
                </c:pt>
                <c:pt idx="148" formatCode="General">
                  <c:v>-0.06</c:v>
                </c:pt>
                <c:pt idx="149" formatCode="General">
                  <c:v>-4.8631578947368415E-2</c:v>
                </c:pt>
                <c:pt idx="150" formatCode="General">
                  <c:v>-3.7263157894736845E-2</c:v>
                </c:pt>
                <c:pt idx="151" formatCode="General">
                  <c:v>-2.5894736842105262E-2</c:v>
                </c:pt>
                <c:pt idx="152" formatCode="General">
                  <c:v>-1.4526315789473679E-2</c:v>
                </c:pt>
                <c:pt idx="153" formatCode="General">
                  <c:v>-3.1578947368420957E-3</c:v>
                </c:pt>
                <c:pt idx="154" formatCode="General">
                  <c:v>-3.1578947368420957E-3</c:v>
                </c:pt>
                <c:pt idx="155" formatCode="General">
                  <c:v>-2.5578947368420954E-3</c:v>
                </c:pt>
                <c:pt idx="156" formatCode="General">
                  <c:v>-2.0210526315789378E-3</c:v>
                </c:pt>
                <c:pt idx="157" formatCode="General">
                  <c:v>-1.5473684210526219E-3</c:v>
                </c:pt>
                <c:pt idx="158" formatCode="General">
                  <c:v>-1.1368421052631479E-3</c:v>
                </c:pt>
                <c:pt idx="159" formatCode="General">
                  <c:v>-7.8947368421051643E-4</c:v>
                </c:pt>
                <c:pt idx="160" formatCode="General">
                  <c:v>-5.0526315789472696E-4</c:v>
                </c:pt>
                <c:pt idx="161" formatCode="General">
                  <c:v>-2.8421052631577917E-4</c:v>
                </c:pt>
                <c:pt idx="162" formatCode="General">
                  <c:v>-1.2631578947367448E-4</c:v>
                </c:pt>
                <c:pt idx="163" formatCode="General">
                  <c:v>-3.1578947368411572E-5</c:v>
                </c:pt>
                <c:pt idx="164" formatCode="General">
                  <c:v>9.9746599868666408E-18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B-4EF4-B5FE-DD4234DC2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Thời gian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Lực F(t) [N]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 (N)</c:v>
          </c:tx>
          <c:spPr>
            <a:ln w="19050">
              <a:solidFill>
                <a:srgbClr val="1F4E78"/>
              </a:solidFill>
              <a:prstDash val="solid"/>
            </a:ln>
          </c:spPr>
          <c:xVal>
            <c:numRef>
              <c:f>Do_thi!$A$5:$A$169</c:f>
              <c:numCache>
                <c:formatCode>General</c:formatCode>
                <c:ptCount val="16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0.25</c:v>
                </c:pt>
                <c:pt idx="12">
                  <c:v>0.4</c:v>
                </c:pt>
                <c:pt idx="13">
                  <c:v>0.55000000000000004</c:v>
                </c:pt>
                <c:pt idx="14">
                  <c:v>0.7</c:v>
                </c:pt>
                <c:pt idx="15">
                  <c:v>0.85</c:v>
                </c:pt>
                <c:pt idx="16">
                  <c:v>1</c:v>
                </c:pt>
                <c:pt idx="17">
                  <c:v>1.1499999999999999</c:v>
                </c:pt>
                <c:pt idx="18">
                  <c:v>1.3</c:v>
                </c:pt>
                <c:pt idx="19">
                  <c:v>1.45</c:v>
                </c:pt>
                <c:pt idx="20">
                  <c:v>1.6</c:v>
                </c:pt>
                <c:pt idx="21">
                  <c:v>1.75</c:v>
                </c:pt>
                <c:pt idx="22">
                  <c:v>1.75</c:v>
                </c:pt>
                <c:pt idx="23">
                  <c:v>1.7749999999999999</c:v>
                </c:pt>
                <c:pt idx="24">
                  <c:v>1.8</c:v>
                </c:pt>
                <c:pt idx="25">
                  <c:v>1.825</c:v>
                </c:pt>
                <c:pt idx="26">
                  <c:v>1.85</c:v>
                </c:pt>
                <c:pt idx="27">
                  <c:v>1.875</c:v>
                </c:pt>
                <c:pt idx="28">
                  <c:v>1.9</c:v>
                </c:pt>
                <c:pt idx="29">
                  <c:v>1.925</c:v>
                </c:pt>
                <c:pt idx="30">
                  <c:v>1.95</c:v>
                </c:pt>
                <c:pt idx="31">
                  <c:v>1.9750000000000001</c:v>
                </c:pt>
                <c:pt idx="32">
                  <c:v>2</c:v>
                </c:pt>
                <c:pt idx="33">
                  <c:v>2</c:v>
                </c:pt>
                <c:pt idx="34">
                  <c:v>10</c:v>
                </c:pt>
                <c:pt idx="35">
                  <c:v>18</c:v>
                </c:pt>
                <c:pt idx="36">
                  <c:v>26</c:v>
                </c:pt>
                <c:pt idx="37">
                  <c:v>34</c:v>
                </c:pt>
                <c:pt idx="38">
                  <c:v>42</c:v>
                </c:pt>
                <c:pt idx="39">
                  <c:v>50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82</c:v>
                </c:pt>
                <c:pt idx="44">
                  <c:v>82</c:v>
                </c:pt>
                <c:pt idx="45">
                  <c:v>82.025000000000006</c:v>
                </c:pt>
                <c:pt idx="46">
                  <c:v>82.05</c:v>
                </c:pt>
                <c:pt idx="47">
                  <c:v>82.075000000000003</c:v>
                </c:pt>
                <c:pt idx="48">
                  <c:v>82.1</c:v>
                </c:pt>
                <c:pt idx="49">
                  <c:v>82.125</c:v>
                </c:pt>
                <c:pt idx="50">
                  <c:v>82.15</c:v>
                </c:pt>
                <c:pt idx="51">
                  <c:v>82.174999999999997</c:v>
                </c:pt>
                <c:pt idx="52">
                  <c:v>82.2</c:v>
                </c:pt>
                <c:pt idx="53">
                  <c:v>82.224999999999994</c:v>
                </c:pt>
                <c:pt idx="54">
                  <c:v>82.25</c:v>
                </c:pt>
                <c:pt idx="55">
                  <c:v>82.25</c:v>
                </c:pt>
                <c:pt idx="56">
                  <c:v>83.2</c:v>
                </c:pt>
                <c:pt idx="57">
                  <c:v>84.15</c:v>
                </c:pt>
                <c:pt idx="58">
                  <c:v>85.1</c:v>
                </c:pt>
                <c:pt idx="59">
                  <c:v>86.05</c:v>
                </c:pt>
                <c:pt idx="60">
                  <c:v>87</c:v>
                </c:pt>
                <c:pt idx="61">
                  <c:v>87.95</c:v>
                </c:pt>
                <c:pt idx="62">
                  <c:v>88.9</c:v>
                </c:pt>
                <c:pt idx="63">
                  <c:v>89.85</c:v>
                </c:pt>
                <c:pt idx="64">
                  <c:v>90.8</c:v>
                </c:pt>
                <c:pt idx="65">
                  <c:v>91.75</c:v>
                </c:pt>
                <c:pt idx="66">
                  <c:v>91.75</c:v>
                </c:pt>
                <c:pt idx="67">
                  <c:v>91.775000000000006</c:v>
                </c:pt>
                <c:pt idx="68">
                  <c:v>91.8</c:v>
                </c:pt>
                <c:pt idx="69">
                  <c:v>91.825000000000003</c:v>
                </c:pt>
                <c:pt idx="70">
                  <c:v>91.85</c:v>
                </c:pt>
                <c:pt idx="71">
                  <c:v>91.875</c:v>
                </c:pt>
                <c:pt idx="72">
                  <c:v>91.9</c:v>
                </c:pt>
                <c:pt idx="73">
                  <c:v>91.924999999999997</c:v>
                </c:pt>
                <c:pt idx="74">
                  <c:v>91.95</c:v>
                </c:pt>
                <c:pt idx="75">
                  <c:v>91.974999999999994</c:v>
                </c:pt>
                <c:pt idx="76">
                  <c:v>92</c:v>
                </c:pt>
                <c:pt idx="77">
                  <c:v>92</c:v>
                </c:pt>
                <c:pt idx="78">
                  <c:v>95</c:v>
                </c:pt>
                <c:pt idx="79">
                  <c:v>98</c:v>
                </c:pt>
                <c:pt idx="80">
                  <c:v>101</c:v>
                </c:pt>
                <c:pt idx="81">
                  <c:v>104</c:v>
                </c:pt>
                <c:pt idx="82">
                  <c:v>107</c:v>
                </c:pt>
                <c:pt idx="83">
                  <c:v>110</c:v>
                </c:pt>
                <c:pt idx="84">
                  <c:v>113</c:v>
                </c:pt>
                <c:pt idx="85">
                  <c:v>116</c:v>
                </c:pt>
                <c:pt idx="86">
                  <c:v>119</c:v>
                </c:pt>
                <c:pt idx="87">
                  <c:v>122</c:v>
                </c:pt>
                <c:pt idx="88">
                  <c:v>122</c:v>
                </c:pt>
                <c:pt idx="89">
                  <c:v>122.02500000000001</c:v>
                </c:pt>
                <c:pt idx="90">
                  <c:v>122.05</c:v>
                </c:pt>
                <c:pt idx="91">
                  <c:v>122.075</c:v>
                </c:pt>
                <c:pt idx="92">
                  <c:v>122.1</c:v>
                </c:pt>
                <c:pt idx="93">
                  <c:v>122.125</c:v>
                </c:pt>
                <c:pt idx="94">
                  <c:v>122.15</c:v>
                </c:pt>
                <c:pt idx="95">
                  <c:v>122.175</c:v>
                </c:pt>
                <c:pt idx="96">
                  <c:v>122.2</c:v>
                </c:pt>
                <c:pt idx="97">
                  <c:v>122.22499999999999</c:v>
                </c:pt>
                <c:pt idx="98">
                  <c:v>122.25</c:v>
                </c:pt>
                <c:pt idx="99">
                  <c:v>122.25</c:v>
                </c:pt>
                <c:pt idx="100">
                  <c:v>122.4</c:v>
                </c:pt>
                <c:pt idx="101">
                  <c:v>122.55</c:v>
                </c:pt>
                <c:pt idx="102">
                  <c:v>122.7</c:v>
                </c:pt>
                <c:pt idx="103">
                  <c:v>122.85</c:v>
                </c:pt>
                <c:pt idx="104">
                  <c:v>123</c:v>
                </c:pt>
                <c:pt idx="105">
                  <c:v>123.15</c:v>
                </c:pt>
                <c:pt idx="106">
                  <c:v>123.3</c:v>
                </c:pt>
                <c:pt idx="107">
                  <c:v>123.45</c:v>
                </c:pt>
                <c:pt idx="108">
                  <c:v>123.6</c:v>
                </c:pt>
                <c:pt idx="109">
                  <c:v>123.75</c:v>
                </c:pt>
                <c:pt idx="110">
                  <c:v>123.75</c:v>
                </c:pt>
                <c:pt idx="111">
                  <c:v>123.77500000000001</c:v>
                </c:pt>
                <c:pt idx="112">
                  <c:v>123.8</c:v>
                </c:pt>
                <c:pt idx="113">
                  <c:v>123.825</c:v>
                </c:pt>
                <c:pt idx="114">
                  <c:v>123.85</c:v>
                </c:pt>
                <c:pt idx="115">
                  <c:v>123.875</c:v>
                </c:pt>
                <c:pt idx="116">
                  <c:v>123.9</c:v>
                </c:pt>
                <c:pt idx="117">
                  <c:v>123.925</c:v>
                </c:pt>
                <c:pt idx="118">
                  <c:v>123.95</c:v>
                </c:pt>
                <c:pt idx="119">
                  <c:v>123.97499999999999</c:v>
                </c:pt>
                <c:pt idx="120">
                  <c:v>124</c:v>
                </c:pt>
                <c:pt idx="121">
                  <c:v>124</c:v>
                </c:pt>
                <c:pt idx="122">
                  <c:v>132.25</c:v>
                </c:pt>
                <c:pt idx="123">
                  <c:v>140.5</c:v>
                </c:pt>
                <c:pt idx="124">
                  <c:v>148.75</c:v>
                </c:pt>
                <c:pt idx="125">
                  <c:v>157</c:v>
                </c:pt>
                <c:pt idx="126">
                  <c:v>165.25</c:v>
                </c:pt>
                <c:pt idx="127">
                  <c:v>173.5</c:v>
                </c:pt>
                <c:pt idx="128">
                  <c:v>181.75</c:v>
                </c:pt>
                <c:pt idx="129">
                  <c:v>190</c:v>
                </c:pt>
                <c:pt idx="130">
                  <c:v>198.25</c:v>
                </c:pt>
                <c:pt idx="131">
                  <c:v>206.5</c:v>
                </c:pt>
                <c:pt idx="132">
                  <c:v>206.5</c:v>
                </c:pt>
                <c:pt idx="133">
                  <c:v>206.52500000000001</c:v>
                </c:pt>
                <c:pt idx="134">
                  <c:v>206.55</c:v>
                </c:pt>
                <c:pt idx="135">
                  <c:v>206.57499999999999</c:v>
                </c:pt>
                <c:pt idx="136">
                  <c:v>206.6</c:v>
                </c:pt>
                <c:pt idx="137">
                  <c:v>206.625</c:v>
                </c:pt>
                <c:pt idx="138">
                  <c:v>206.65</c:v>
                </c:pt>
                <c:pt idx="139">
                  <c:v>206.67500000000001</c:v>
                </c:pt>
                <c:pt idx="140">
                  <c:v>206.7</c:v>
                </c:pt>
                <c:pt idx="141">
                  <c:v>206.72499999999999</c:v>
                </c:pt>
                <c:pt idx="142">
                  <c:v>206.75</c:v>
                </c:pt>
                <c:pt idx="143">
                  <c:v>206.75</c:v>
                </c:pt>
                <c:pt idx="144">
                  <c:v>207.2</c:v>
                </c:pt>
                <c:pt idx="145">
                  <c:v>207.65</c:v>
                </c:pt>
                <c:pt idx="146">
                  <c:v>208.1</c:v>
                </c:pt>
                <c:pt idx="147">
                  <c:v>208.55</c:v>
                </c:pt>
                <c:pt idx="148">
                  <c:v>209</c:v>
                </c:pt>
                <c:pt idx="149">
                  <c:v>209.45</c:v>
                </c:pt>
                <c:pt idx="150">
                  <c:v>209.9</c:v>
                </c:pt>
                <c:pt idx="151">
                  <c:v>210.35</c:v>
                </c:pt>
                <c:pt idx="152">
                  <c:v>210.8</c:v>
                </c:pt>
                <c:pt idx="153">
                  <c:v>211.25</c:v>
                </c:pt>
                <c:pt idx="154">
                  <c:v>211.25</c:v>
                </c:pt>
                <c:pt idx="155">
                  <c:v>211.27500000000001</c:v>
                </c:pt>
                <c:pt idx="156">
                  <c:v>211.3</c:v>
                </c:pt>
                <c:pt idx="157">
                  <c:v>211.32499999999999</c:v>
                </c:pt>
                <c:pt idx="158">
                  <c:v>211.35</c:v>
                </c:pt>
                <c:pt idx="159">
                  <c:v>211.375</c:v>
                </c:pt>
                <c:pt idx="160">
                  <c:v>211.4</c:v>
                </c:pt>
                <c:pt idx="161">
                  <c:v>211.42500000000001</c:v>
                </c:pt>
                <c:pt idx="162">
                  <c:v>211.45</c:v>
                </c:pt>
                <c:pt idx="163">
                  <c:v>211.47499999999999</c:v>
                </c:pt>
                <c:pt idx="164">
                  <c:v>211.5</c:v>
                </c:pt>
              </c:numCache>
            </c:numRef>
          </c:xVal>
          <c:yVal>
            <c:numRef>
              <c:f>Do_thi!$C$5:$C$169</c:f>
              <c:numCache>
                <c:formatCode>#,##0.0000</c:formatCode>
                <c:ptCount val="165"/>
                <c:pt idx="0">
                  <c:v>24415.128000000001</c:v>
                </c:pt>
                <c:pt idx="1">
                  <c:v>24500.458285714289</c:v>
                </c:pt>
                <c:pt idx="2">
                  <c:v>24585.788571428573</c:v>
                </c:pt>
                <c:pt idx="3">
                  <c:v>24671.118857142857</c:v>
                </c:pt>
                <c:pt idx="4">
                  <c:v>24756.449142857145</c:v>
                </c:pt>
                <c:pt idx="5">
                  <c:v>24841.77942857143</c:v>
                </c:pt>
                <c:pt idx="6">
                  <c:v>24927.109714285714</c:v>
                </c:pt>
                <c:pt idx="7">
                  <c:v>25012.440000000002</c:v>
                </c:pt>
                <c:pt idx="8">
                  <c:v>25097.770285714287</c:v>
                </c:pt>
                <c:pt idx="9">
                  <c:v>25183.100571428575</c:v>
                </c:pt>
                <c:pt idx="10">
                  <c:v>25268.430857142859</c:v>
                </c:pt>
                <c:pt idx="11">
                  <c:v>25268.430857142859</c:v>
                </c:pt>
                <c:pt idx="12">
                  <c:v>25268.430857142859</c:v>
                </c:pt>
                <c:pt idx="13">
                  <c:v>25268.430857142859</c:v>
                </c:pt>
                <c:pt idx="14">
                  <c:v>25268.430857142859</c:v>
                </c:pt>
                <c:pt idx="15">
                  <c:v>25268.430857142859</c:v>
                </c:pt>
                <c:pt idx="16">
                  <c:v>25268.430857142859</c:v>
                </c:pt>
                <c:pt idx="17">
                  <c:v>25268.430857142859</c:v>
                </c:pt>
                <c:pt idx="18">
                  <c:v>25268.430857142859</c:v>
                </c:pt>
                <c:pt idx="19">
                  <c:v>25268.430857142859</c:v>
                </c:pt>
                <c:pt idx="20">
                  <c:v>25268.430857142859</c:v>
                </c:pt>
                <c:pt idx="21">
                  <c:v>25268.430857142859</c:v>
                </c:pt>
                <c:pt idx="22">
                  <c:v>25268.430857142859</c:v>
                </c:pt>
                <c:pt idx="23">
                  <c:v>25183.100571428575</c:v>
                </c:pt>
                <c:pt idx="24">
                  <c:v>25097.770285714287</c:v>
                </c:pt>
                <c:pt idx="25">
                  <c:v>25012.440000000002</c:v>
                </c:pt>
                <c:pt idx="26">
                  <c:v>24927.109714285718</c:v>
                </c:pt>
                <c:pt idx="27">
                  <c:v>24841.77942857143</c:v>
                </c:pt>
                <c:pt idx="28">
                  <c:v>24756.449142857145</c:v>
                </c:pt>
                <c:pt idx="29">
                  <c:v>24671.118857142857</c:v>
                </c:pt>
                <c:pt idx="30">
                  <c:v>24585.788571428573</c:v>
                </c:pt>
                <c:pt idx="31">
                  <c:v>24500.458285714289</c:v>
                </c:pt>
                <c:pt idx="32">
                  <c:v>24415.128000000001</c:v>
                </c:pt>
                <c:pt idx="33">
                  <c:v>24415.128000000001</c:v>
                </c:pt>
                <c:pt idx="34">
                  <c:v>24415.128000000001</c:v>
                </c:pt>
                <c:pt idx="35">
                  <c:v>24415.128000000001</c:v>
                </c:pt>
                <c:pt idx="36">
                  <c:v>24415.128000000001</c:v>
                </c:pt>
                <c:pt idx="37">
                  <c:v>24415.128000000001</c:v>
                </c:pt>
                <c:pt idx="38">
                  <c:v>24415.128000000001</c:v>
                </c:pt>
                <c:pt idx="39">
                  <c:v>24415.128000000001</c:v>
                </c:pt>
                <c:pt idx="40">
                  <c:v>24415.128000000001</c:v>
                </c:pt>
                <c:pt idx="41">
                  <c:v>24415.128000000001</c:v>
                </c:pt>
                <c:pt idx="42">
                  <c:v>24415.128000000001</c:v>
                </c:pt>
                <c:pt idx="43">
                  <c:v>24415.128000000001</c:v>
                </c:pt>
                <c:pt idx="44">
                  <c:v>24415.128000000001</c:v>
                </c:pt>
                <c:pt idx="45">
                  <c:v>24399.812307692311</c:v>
                </c:pt>
                <c:pt idx="46">
                  <c:v>24384.496615384618</c:v>
                </c:pt>
                <c:pt idx="47">
                  <c:v>24369.180923076925</c:v>
                </c:pt>
                <c:pt idx="48">
                  <c:v>24353.865230769232</c:v>
                </c:pt>
                <c:pt idx="49">
                  <c:v>24338.549538461539</c:v>
                </c:pt>
                <c:pt idx="50">
                  <c:v>24323.233846153849</c:v>
                </c:pt>
                <c:pt idx="51">
                  <c:v>24307.918153846156</c:v>
                </c:pt>
                <c:pt idx="52">
                  <c:v>24292.602461538463</c:v>
                </c:pt>
                <c:pt idx="53">
                  <c:v>24277.286769230774</c:v>
                </c:pt>
                <c:pt idx="54">
                  <c:v>24261.971076923077</c:v>
                </c:pt>
                <c:pt idx="55">
                  <c:v>24261.971076923077</c:v>
                </c:pt>
                <c:pt idx="56">
                  <c:v>24261.971076923077</c:v>
                </c:pt>
                <c:pt idx="57">
                  <c:v>24261.971076923077</c:v>
                </c:pt>
                <c:pt idx="58">
                  <c:v>24261.971076923077</c:v>
                </c:pt>
                <c:pt idx="59">
                  <c:v>24261.971076923077</c:v>
                </c:pt>
                <c:pt idx="60">
                  <c:v>24261.971076923077</c:v>
                </c:pt>
                <c:pt idx="61">
                  <c:v>24261.971076923077</c:v>
                </c:pt>
                <c:pt idx="62">
                  <c:v>24261.971076923077</c:v>
                </c:pt>
                <c:pt idx="63">
                  <c:v>24261.971076923077</c:v>
                </c:pt>
                <c:pt idx="64">
                  <c:v>24261.971076923077</c:v>
                </c:pt>
                <c:pt idx="65">
                  <c:v>24261.971076923077</c:v>
                </c:pt>
                <c:pt idx="66">
                  <c:v>24261.971076923077</c:v>
                </c:pt>
                <c:pt idx="67">
                  <c:v>24277.286769230774</c:v>
                </c:pt>
                <c:pt idx="68">
                  <c:v>24292.602461538463</c:v>
                </c:pt>
                <c:pt idx="69">
                  <c:v>24307.918153846156</c:v>
                </c:pt>
                <c:pt idx="70">
                  <c:v>24323.233846153849</c:v>
                </c:pt>
                <c:pt idx="71">
                  <c:v>24338.549538461539</c:v>
                </c:pt>
                <c:pt idx="72">
                  <c:v>24353.865230769232</c:v>
                </c:pt>
                <c:pt idx="73">
                  <c:v>24369.180923076925</c:v>
                </c:pt>
                <c:pt idx="74">
                  <c:v>24384.496615384618</c:v>
                </c:pt>
                <c:pt idx="75">
                  <c:v>24399.812307692311</c:v>
                </c:pt>
                <c:pt idx="76">
                  <c:v>24415.128000000001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-435.56400000000002</c:v>
                </c:pt>
                <c:pt idx="89">
                  <c:v>-437.08628571428574</c:v>
                </c:pt>
                <c:pt idx="90">
                  <c:v>-438.60857142857151</c:v>
                </c:pt>
                <c:pt idx="91" formatCode="General">
                  <c:v>-440.13085714285717</c:v>
                </c:pt>
                <c:pt idx="92" formatCode="General">
                  <c:v>-441.65314285714288</c:v>
                </c:pt>
                <c:pt idx="93" formatCode="General">
                  <c:v>-443.1754285714286</c:v>
                </c:pt>
                <c:pt idx="94" formatCode="General">
                  <c:v>-444.69771428571426</c:v>
                </c:pt>
                <c:pt idx="95" formatCode="General">
                  <c:v>-446.22</c:v>
                </c:pt>
                <c:pt idx="96" formatCode="General">
                  <c:v>-447.74228571428574</c:v>
                </c:pt>
                <c:pt idx="97" formatCode="General">
                  <c:v>-449.26457142857151</c:v>
                </c:pt>
                <c:pt idx="98" formatCode="General">
                  <c:v>-450.78685714285717</c:v>
                </c:pt>
                <c:pt idx="99" formatCode="General">
                  <c:v>-450.78685714285717</c:v>
                </c:pt>
                <c:pt idx="100" formatCode="General">
                  <c:v>-450.78685714285717</c:v>
                </c:pt>
                <c:pt idx="101" formatCode="General">
                  <c:v>-450.78685714285717</c:v>
                </c:pt>
                <c:pt idx="102" formatCode="General">
                  <c:v>-450.78685714285717</c:v>
                </c:pt>
                <c:pt idx="103" formatCode="General">
                  <c:v>-450.78685714285717</c:v>
                </c:pt>
                <c:pt idx="104" formatCode="General">
                  <c:v>-450.78685714285717</c:v>
                </c:pt>
                <c:pt idx="105" formatCode="General">
                  <c:v>-450.78685714285717</c:v>
                </c:pt>
                <c:pt idx="106" formatCode="General">
                  <c:v>-450.78685714285717</c:v>
                </c:pt>
                <c:pt idx="107" formatCode="General">
                  <c:v>-450.78685714285717</c:v>
                </c:pt>
                <c:pt idx="108" formatCode="General">
                  <c:v>-450.78685714285717</c:v>
                </c:pt>
                <c:pt idx="109" formatCode="General">
                  <c:v>-450.78685714285717</c:v>
                </c:pt>
                <c:pt idx="110" formatCode="General">
                  <c:v>-450.78685714285717</c:v>
                </c:pt>
                <c:pt idx="111" formatCode="General">
                  <c:v>-449.26457142857151</c:v>
                </c:pt>
                <c:pt idx="112" formatCode="General">
                  <c:v>-447.74228571428574</c:v>
                </c:pt>
                <c:pt idx="113" formatCode="General">
                  <c:v>-446.22</c:v>
                </c:pt>
                <c:pt idx="114" formatCode="General">
                  <c:v>-444.69771428571437</c:v>
                </c:pt>
                <c:pt idx="115" formatCode="General">
                  <c:v>-443.1754285714286</c:v>
                </c:pt>
                <c:pt idx="116" formatCode="General">
                  <c:v>-441.65314285714288</c:v>
                </c:pt>
                <c:pt idx="117" formatCode="General">
                  <c:v>-440.13085714285717</c:v>
                </c:pt>
                <c:pt idx="118" formatCode="General">
                  <c:v>-438.60857142857151</c:v>
                </c:pt>
                <c:pt idx="119" formatCode="General">
                  <c:v>-437.08628571428574</c:v>
                </c:pt>
                <c:pt idx="120" formatCode="General">
                  <c:v>-435.56400000000002</c:v>
                </c:pt>
                <c:pt idx="121" formatCode="General">
                  <c:v>-435.56400000000002</c:v>
                </c:pt>
                <c:pt idx="122" formatCode="General">
                  <c:v>-435.56400000000002</c:v>
                </c:pt>
                <c:pt idx="123" formatCode="General">
                  <c:v>-435.56400000000002</c:v>
                </c:pt>
                <c:pt idx="124" formatCode="General">
                  <c:v>-435.56400000000002</c:v>
                </c:pt>
                <c:pt idx="125" formatCode="General">
                  <c:v>-435.56400000000002</c:v>
                </c:pt>
                <c:pt idx="126" formatCode="General">
                  <c:v>-435.56400000000002</c:v>
                </c:pt>
                <c:pt idx="127" formatCode="General">
                  <c:v>-435.56400000000002</c:v>
                </c:pt>
                <c:pt idx="128" formatCode="General">
                  <c:v>-435.56400000000002</c:v>
                </c:pt>
                <c:pt idx="129" formatCode="General">
                  <c:v>-435.56400000000002</c:v>
                </c:pt>
                <c:pt idx="130" formatCode="General">
                  <c:v>-435.56400000000002</c:v>
                </c:pt>
                <c:pt idx="131" formatCode="General">
                  <c:v>-435.56400000000002</c:v>
                </c:pt>
                <c:pt idx="132" formatCode="General">
                  <c:v>-435.56400000000002</c:v>
                </c:pt>
                <c:pt idx="133" formatCode="General">
                  <c:v>-435.00315789473689</c:v>
                </c:pt>
                <c:pt idx="134" formatCode="General">
                  <c:v>-434.4423157894737</c:v>
                </c:pt>
                <c:pt idx="135" formatCode="General">
                  <c:v>-433.88147368421056</c:v>
                </c:pt>
                <c:pt idx="136" formatCode="General">
                  <c:v>-433.32063157894737</c:v>
                </c:pt>
                <c:pt idx="137" formatCode="General">
                  <c:v>-432.75978947368429</c:v>
                </c:pt>
                <c:pt idx="138" formatCode="General">
                  <c:v>-432.1989473684211</c:v>
                </c:pt>
                <c:pt idx="139" formatCode="General">
                  <c:v>-431.63810526315797</c:v>
                </c:pt>
                <c:pt idx="140" formatCode="General">
                  <c:v>-431.07726315789478</c:v>
                </c:pt>
                <c:pt idx="141" formatCode="General">
                  <c:v>-430.51642105263164</c:v>
                </c:pt>
                <c:pt idx="142" formatCode="General">
                  <c:v>-429.95557894736845</c:v>
                </c:pt>
                <c:pt idx="143" formatCode="General">
                  <c:v>-429.95557894736845</c:v>
                </c:pt>
                <c:pt idx="144" formatCode="General">
                  <c:v>-429.95557894736845</c:v>
                </c:pt>
                <c:pt idx="145" formatCode="General">
                  <c:v>-429.95557894736845</c:v>
                </c:pt>
                <c:pt idx="146" formatCode="General">
                  <c:v>-429.95557894736845</c:v>
                </c:pt>
                <c:pt idx="147" formatCode="General">
                  <c:v>-429.95557894736845</c:v>
                </c:pt>
                <c:pt idx="148" formatCode="General">
                  <c:v>-429.95557894736845</c:v>
                </c:pt>
                <c:pt idx="149" formatCode="General">
                  <c:v>-429.95557894736845</c:v>
                </c:pt>
                <c:pt idx="150" formatCode="General">
                  <c:v>-429.95557894736845</c:v>
                </c:pt>
                <c:pt idx="151" formatCode="General">
                  <c:v>-429.95557894736845</c:v>
                </c:pt>
                <c:pt idx="152" formatCode="General">
                  <c:v>-429.95557894736845</c:v>
                </c:pt>
                <c:pt idx="153" formatCode="General">
                  <c:v>-429.95557894736845</c:v>
                </c:pt>
                <c:pt idx="154" formatCode="General">
                  <c:v>-429.95557894736845</c:v>
                </c:pt>
                <c:pt idx="155" formatCode="General">
                  <c:v>-430.51642105263164</c:v>
                </c:pt>
                <c:pt idx="156" formatCode="General">
                  <c:v>-431.07726315789478</c:v>
                </c:pt>
                <c:pt idx="157" formatCode="General">
                  <c:v>-431.63810526315797</c:v>
                </c:pt>
                <c:pt idx="158" formatCode="General">
                  <c:v>-432.1989473684211</c:v>
                </c:pt>
                <c:pt idx="159" formatCode="General">
                  <c:v>-432.75978947368429</c:v>
                </c:pt>
                <c:pt idx="160" formatCode="General">
                  <c:v>-433.32063157894737</c:v>
                </c:pt>
                <c:pt idx="161" formatCode="General">
                  <c:v>-433.88147368421056</c:v>
                </c:pt>
                <c:pt idx="162" formatCode="General">
                  <c:v>-434.4423157894737</c:v>
                </c:pt>
                <c:pt idx="163" formatCode="General">
                  <c:v>-435.00315789473689</c:v>
                </c:pt>
                <c:pt idx="164" formatCode="General">
                  <c:v>-435.56400000000002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C0-4FF8-9EBC-7429A03A6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Thời gian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Công suất motor P(t) [W]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 motor (W)</c:v>
          </c:tx>
          <c:spPr>
            <a:ln w="19050">
              <a:solidFill>
                <a:srgbClr val="1F4E78"/>
              </a:solidFill>
              <a:prstDash val="solid"/>
            </a:ln>
          </c:spPr>
          <c:xVal>
            <c:numRef>
              <c:f>Do_thi!$A$5:$A$169</c:f>
              <c:numCache>
                <c:formatCode>General</c:formatCode>
                <c:ptCount val="16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0.25</c:v>
                </c:pt>
                <c:pt idx="12">
                  <c:v>0.4</c:v>
                </c:pt>
                <c:pt idx="13">
                  <c:v>0.55000000000000004</c:v>
                </c:pt>
                <c:pt idx="14">
                  <c:v>0.7</c:v>
                </c:pt>
                <c:pt idx="15">
                  <c:v>0.85</c:v>
                </c:pt>
                <c:pt idx="16">
                  <c:v>1</c:v>
                </c:pt>
                <c:pt idx="17">
                  <c:v>1.1499999999999999</c:v>
                </c:pt>
                <c:pt idx="18">
                  <c:v>1.3</c:v>
                </c:pt>
                <c:pt idx="19">
                  <c:v>1.45</c:v>
                </c:pt>
                <c:pt idx="20">
                  <c:v>1.6</c:v>
                </c:pt>
                <c:pt idx="21">
                  <c:v>1.75</c:v>
                </c:pt>
                <c:pt idx="22">
                  <c:v>1.75</c:v>
                </c:pt>
                <c:pt idx="23">
                  <c:v>1.7749999999999999</c:v>
                </c:pt>
                <c:pt idx="24">
                  <c:v>1.8</c:v>
                </c:pt>
                <c:pt idx="25">
                  <c:v>1.825</c:v>
                </c:pt>
                <c:pt idx="26">
                  <c:v>1.85</c:v>
                </c:pt>
                <c:pt idx="27">
                  <c:v>1.875</c:v>
                </c:pt>
                <c:pt idx="28">
                  <c:v>1.9</c:v>
                </c:pt>
                <c:pt idx="29">
                  <c:v>1.925</c:v>
                </c:pt>
                <c:pt idx="30">
                  <c:v>1.95</c:v>
                </c:pt>
                <c:pt idx="31">
                  <c:v>1.9750000000000001</c:v>
                </c:pt>
                <c:pt idx="32">
                  <c:v>2</c:v>
                </c:pt>
                <c:pt idx="33">
                  <c:v>2</c:v>
                </c:pt>
                <c:pt idx="34">
                  <c:v>10</c:v>
                </c:pt>
                <c:pt idx="35">
                  <c:v>18</c:v>
                </c:pt>
                <c:pt idx="36">
                  <c:v>26</c:v>
                </c:pt>
                <c:pt idx="37">
                  <c:v>34</c:v>
                </c:pt>
                <c:pt idx="38">
                  <c:v>42</c:v>
                </c:pt>
                <c:pt idx="39">
                  <c:v>50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82</c:v>
                </c:pt>
                <c:pt idx="44">
                  <c:v>82</c:v>
                </c:pt>
                <c:pt idx="45">
                  <c:v>82.025000000000006</c:v>
                </c:pt>
                <c:pt idx="46">
                  <c:v>82.05</c:v>
                </c:pt>
                <c:pt idx="47">
                  <c:v>82.075000000000003</c:v>
                </c:pt>
                <c:pt idx="48">
                  <c:v>82.1</c:v>
                </c:pt>
                <c:pt idx="49">
                  <c:v>82.125</c:v>
                </c:pt>
                <c:pt idx="50">
                  <c:v>82.15</c:v>
                </c:pt>
                <c:pt idx="51">
                  <c:v>82.174999999999997</c:v>
                </c:pt>
                <c:pt idx="52">
                  <c:v>82.2</c:v>
                </c:pt>
                <c:pt idx="53">
                  <c:v>82.224999999999994</c:v>
                </c:pt>
                <c:pt idx="54">
                  <c:v>82.25</c:v>
                </c:pt>
                <c:pt idx="55">
                  <c:v>82.25</c:v>
                </c:pt>
                <c:pt idx="56">
                  <c:v>83.2</c:v>
                </c:pt>
                <c:pt idx="57">
                  <c:v>84.15</c:v>
                </c:pt>
                <c:pt idx="58">
                  <c:v>85.1</c:v>
                </c:pt>
                <c:pt idx="59">
                  <c:v>86.05</c:v>
                </c:pt>
                <c:pt idx="60">
                  <c:v>87</c:v>
                </c:pt>
                <c:pt idx="61">
                  <c:v>87.95</c:v>
                </c:pt>
                <c:pt idx="62">
                  <c:v>88.9</c:v>
                </c:pt>
                <c:pt idx="63">
                  <c:v>89.85</c:v>
                </c:pt>
                <c:pt idx="64">
                  <c:v>90.8</c:v>
                </c:pt>
                <c:pt idx="65">
                  <c:v>91.75</c:v>
                </c:pt>
                <c:pt idx="66">
                  <c:v>91.75</c:v>
                </c:pt>
                <c:pt idx="67">
                  <c:v>91.775000000000006</c:v>
                </c:pt>
                <c:pt idx="68">
                  <c:v>91.8</c:v>
                </c:pt>
                <c:pt idx="69">
                  <c:v>91.825000000000003</c:v>
                </c:pt>
                <c:pt idx="70">
                  <c:v>91.85</c:v>
                </c:pt>
                <c:pt idx="71">
                  <c:v>91.875</c:v>
                </c:pt>
                <c:pt idx="72">
                  <c:v>91.9</c:v>
                </c:pt>
                <c:pt idx="73">
                  <c:v>91.924999999999997</c:v>
                </c:pt>
                <c:pt idx="74">
                  <c:v>91.95</c:v>
                </c:pt>
                <c:pt idx="75">
                  <c:v>91.974999999999994</c:v>
                </c:pt>
                <c:pt idx="76">
                  <c:v>92</c:v>
                </c:pt>
                <c:pt idx="77">
                  <c:v>92</c:v>
                </c:pt>
                <c:pt idx="78">
                  <c:v>95</c:v>
                </c:pt>
                <c:pt idx="79">
                  <c:v>98</c:v>
                </c:pt>
                <c:pt idx="80">
                  <c:v>101</c:v>
                </c:pt>
                <c:pt idx="81">
                  <c:v>104</c:v>
                </c:pt>
                <c:pt idx="82">
                  <c:v>107</c:v>
                </c:pt>
                <c:pt idx="83">
                  <c:v>110</c:v>
                </c:pt>
                <c:pt idx="84">
                  <c:v>113</c:v>
                </c:pt>
                <c:pt idx="85">
                  <c:v>116</c:v>
                </c:pt>
                <c:pt idx="86">
                  <c:v>119</c:v>
                </c:pt>
                <c:pt idx="87">
                  <c:v>122</c:v>
                </c:pt>
                <c:pt idx="88">
                  <c:v>122</c:v>
                </c:pt>
                <c:pt idx="89">
                  <c:v>122.02500000000001</c:v>
                </c:pt>
                <c:pt idx="90">
                  <c:v>122.05</c:v>
                </c:pt>
                <c:pt idx="91">
                  <c:v>122.075</c:v>
                </c:pt>
                <c:pt idx="92">
                  <c:v>122.1</c:v>
                </c:pt>
                <c:pt idx="93">
                  <c:v>122.125</c:v>
                </c:pt>
                <c:pt idx="94">
                  <c:v>122.15</c:v>
                </c:pt>
                <c:pt idx="95">
                  <c:v>122.175</c:v>
                </c:pt>
                <c:pt idx="96">
                  <c:v>122.2</c:v>
                </c:pt>
                <c:pt idx="97">
                  <c:v>122.22499999999999</c:v>
                </c:pt>
                <c:pt idx="98">
                  <c:v>122.25</c:v>
                </c:pt>
                <c:pt idx="99">
                  <c:v>122.25</c:v>
                </c:pt>
                <c:pt idx="100">
                  <c:v>122.4</c:v>
                </c:pt>
                <c:pt idx="101">
                  <c:v>122.55</c:v>
                </c:pt>
                <c:pt idx="102">
                  <c:v>122.7</c:v>
                </c:pt>
                <c:pt idx="103">
                  <c:v>122.85</c:v>
                </c:pt>
                <c:pt idx="104">
                  <c:v>123</c:v>
                </c:pt>
                <c:pt idx="105">
                  <c:v>123.15</c:v>
                </c:pt>
                <c:pt idx="106">
                  <c:v>123.3</c:v>
                </c:pt>
                <c:pt idx="107">
                  <c:v>123.45</c:v>
                </c:pt>
                <c:pt idx="108">
                  <c:v>123.6</c:v>
                </c:pt>
                <c:pt idx="109">
                  <c:v>123.75</c:v>
                </c:pt>
                <c:pt idx="110">
                  <c:v>123.75</c:v>
                </c:pt>
                <c:pt idx="111">
                  <c:v>123.77500000000001</c:v>
                </c:pt>
                <c:pt idx="112">
                  <c:v>123.8</c:v>
                </c:pt>
                <c:pt idx="113">
                  <c:v>123.825</c:v>
                </c:pt>
                <c:pt idx="114">
                  <c:v>123.85</c:v>
                </c:pt>
                <c:pt idx="115">
                  <c:v>123.875</c:v>
                </c:pt>
                <c:pt idx="116">
                  <c:v>123.9</c:v>
                </c:pt>
                <c:pt idx="117">
                  <c:v>123.925</c:v>
                </c:pt>
                <c:pt idx="118">
                  <c:v>123.95</c:v>
                </c:pt>
                <c:pt idx="119">
                  <c:v>123.97499999999999</c:v>
                </c:pt>
                <c:pt idx="120">
                  <c:v>124</c:v>
                </c:pt>
                <c:pt idx="121">
                  <c:v>124</c:v>
                </c:pt>
                <c:pt idx="122">
                  <c:v>132.25</c:v>
                </c:pt>
                <c:pt idx="123">
                  <c:v>140.5</c:v>
                </c:pt>
                <c:pt idx="124">
                  <c:v>148.75</c:v>
                </c:pt>
                <c:pt idx="125">
                  <c:v>157</c:v>
                </c:pt>
                <c:pt idx="126">
                  <c:v>165.25</c:v>
                </c:pt>
                <c:pt idx="127">
                  <c:v>173.5</c:v>
                </c:pt>
                <c:pt idx="128">
                  <c:v>181.75</c:v>
                </c:pt>
                <c:pt idx="129">
                  <c:v>190</c:v>
                </c:pt>
                <c:pt idx="130">
                  <c:v>198.25</c:v>
                </c:pt>
                <c:pt idx="131">
                  <c:v>206.5</c:v>
                </c:pt>
                <c:pt idx="132">
                  <c:v>206.5</c:v>
                </c:pt>
                <c:pt idx="133">
                  <c:v>206.52500000000001</c:v>
                </c:pt>
                <c:pt idx="134">
                  <c:v>206.55</c:v>
                </c:pt>
                <c:pt idx="135">
                  <c:v>206.57499999999999</c:v>
                </c:pt>
                <c:pt idx="136">
                  <c:v>206.6</c:v>
                </c:pt>
                <c:pt idx="137">
                  <c:v>206.625</c:v>
                </c:pt>
                <c:pt idx="138">
                  <c:v>206.65</c:v>
                </c:pt>
                <c:pt idx="139">
                  <c:v>206.67500000000001</c:v>
                </c:pt>
                <c:pt idx="140">
                  <c:v>206.7</c:v>
                </c:pt>
                <c:pt idx="141">
                  <c:v>206.72499999999999</c:v>
                </c:pt>
                <c:pt idx="142">
                  <c:v>206.75</c:v>
                </c:pt>
                <c:pt idx="143">
                  <c:v>206.75</c:v>
                </c:pt>
                <c:pt idx="144">
                  <c:v>207.2</c:v>
                </c:pt>
                <c:pt idx="145">
                  <c:v>207.65</c:v>
                </c:pt>
                <c:pt idx="146">
                  <c:v>208.1</c:v>
                </c:pt>
                <c:pt idx="147">
                  <c:v>208.55</c:v>
                </c:pt>
                <c:pt idx="148">
                  <c:v>209</c:v>
                </c:pt>
                <c:pt idx="149">
                  <c:v>209.45</c:v>
                </c:pt>
                <c:pt idx="150">
                  <c:v>209.9</c:v>
                </c:pt>
                <c:pt idx="151">
                  <c:v>210.35</c:v>
                </c:pt>
                <c:pt idx="152">
                  <c:v>210.8</c:v>
                </c:pt>
                <c:pt idx="153">
                  <c:v>211.25</c:v>
                </c:pt>
                <c:pt idx="154">
                  <c:v>211.25</c:v>
                </c:pt>
                <c:pt idx="155">
                  <c:v>211.27500000000001</c:v>
                </c:pt>
                <c:pt idx="156">
                  <c:v>211.3</c:v>
                </c:pt>
                <c:pt idx="157">
                  <c:v>211.32499999999999</c:v>
                </c:pt>
                <c:pt idx="158">
                  <c:v>211.35</c:v>
                </c:pt>
                <c:pt idx="159">
                  <c:v>211.375</c:v>
                </c:pt>
                <c:pt idx="160">
                  <c:v>211.4</c:v>
                </c:pt>
                <c:pt idx="161">
                  <c:v>211.42500000000001</c:v>
                </c:pt>
                <c:pt idx="162">
                  <c:v>211.45</c:v>
                </c:pt>
                <c:pt idx="163">
                  <c:v>211.47499999999999</c:v>
                </c:pt>
                <c:pt idx="164">
                  <c:v>211.5</c:v>
                </c:pt>
              </c:numCache>
            </c:numRef>
          </c:xVal>
          <c:yVal>
            <c:numRef>
              <c:f>Do_thi!$D$5:$D$169</c:f>
              <c:numCache>
                <c:formatCode>#,##0.0000</c:formatCode>
                <c:ptCount val="165"/>
                <c:pt idx="0">
                  <c:v>0</c:v>
                </c:pt>
                <c:pt idx="1">
                  <c:v>2.2022112857142866</c:v>
                </c:pt>
                <c:pt idx="2">
                  <c:v>8.8980017142857175</c:v>
                </c:pt>
                <c:pt idx="3">
                  <c:v>20.221106142857142</c:v>
                </c:pt>
                <c:pt idx="4">
                  <c:v>36.305259428571446</c:v>
                </c:pt>
                <c:pt idx="5">
                  <c:v>57.284196428571434</c:v>
                </c:pt>
                <c:pt idx="6">
                  <c:v>83.291651999999999</c:v>
                </c:pt>
                <c:pt idx="7">
                  <c:v>114.46136100000001</c:v>
                </c:pt>
                <c:pt idx="8">
                  <c:v>150.92705828571434</c:v>
                </c:pt>
                <c:pt idx="9">
                  <c:v>192.82247871428578</c:v>
                </c:pt>
                <c:pt idx="10">
                  <c:v>240.28135714285716</c:v>
                </c:pt>
                <c:pt idx="11">
                  <c:v>240.28135714285716</c:v>
                </c:pt>
                <c:pt idx="12">
                  <c:v>528.61898571428571</c:v>
                </c:pt>
                <c:pt idx="13">
                  <c:v>816.95661428571441</c:v>
                </c:pt>
                <c:pt idx="14">
                  <c:v>1105.294242857143</c:v>
                </c:pt>
                <c:pt idx="15">
                  <c:v>1393.6318714285715</c:v>
                </c:pt>
                <c:pt idx="16">
                  <c:v>1681.9695000000004</c:v>
                </c:pt>
                <c:pt idx="17">
                  <c:v>1970.3071285714291</c:v>
                </c:pt>
                <c:pt idx="18">
                  <c:v>2258.644757142858</c:v>
                </c:pt>
                <c:pt idx="19">
                  <c:v>2546.982385714286</c:v>
                </c:pt>
                <c:pt idx="20">
                  <c:v>2835.3200142857149</c:v>
                </c:pt>
                <c:pt idx="21">
                  <c:v>3123.6576428571434</c:v>
                </c:pt>
                <c:pt idx="22">
                  <c:v>3123.6576428571434</c:v>
                </c:pt>
                <c:pt idx="23">
                  <c:v>3139.9117212857154</c:v>
                </c:pt>
                <c:pt idx="24">
                  <c:v>3150.6023417142865</c:v>
                </c:pt>
                <c:pt idx="25">
                  <c:v>3155.8632390000007</c:v>
                </c:pt>
                <c:pt idx="26">
                  <c:v>3155.8281480000014</c:v>
                </c:pt>
                <c:pt idx="27">
                  <c:v>3150.6308035714296</c:v>
                </c:pt>
                <c:pt idx="28">
                  <c:v>3140.4049405714295</c:v>
                </c:pt>
                <c:pt idx="29">
                  <c:v>3125.2842938571434</c:v>
                </c:pt>
                <c:pt idx="30">
                  <c:v>3105.4025982857152</c:v>
                </c:pt>
                <c:pt idx="31">
                  <c:v>3080.8935887142875</c:v>
                </c:pt>
                <c:pt idx="32">
                  <c:v>3051.8910000000001</c:v>
                </c:pt>
                <c:pt idx="33">
                  <c:v>3051.8910000000001</c:v>
                </c:pt>
                <c:pt idx="34">
                  <c:v>3051.8910000000001</c:v>
                </c:pt>
                <c:pt idx="35">
                  <c:v>3051.8910000000001</c:v>
                </c:pt>
                <c:pt idx="36">
                  <c:v>3051.8910000000001</c:v>
                </c:pt>
                <c:pt idx="37">
                  <c:v>3051.8910000000001</c:v>
                </c:pt>
                <c:pt idx="38">
                  <c:v>3051.8910000000001</c:v>
                </c:pt>
                <c:pt idx="39">
                  <c:v>3051.8910000000001</c:v>
                </c:pt>
                <c:pt idx="40">
                  <c:v>3051.8910000000001</c:v>
                </c:pt>
                <c:pt idx="41">
                  <c:v>3051.8910000000001</c:v>
                </c:pt>
                <c:pt idx="42">
                  <c:v>3051.8910000000001</c:v>
                </c:pt>
                <c:pt idx="43">
                  <c:v>3051.8910000000001</c:v>
                </c:pt>
                <c:pt idx="44">
                  <c:v>3051.8910000000001</c:v>
                </c:pt>
                <c:pt idx="45">
                  <c:v>3045.8995884437877</c:v>
                </c:pt>
                <c:pt idx="46">
                  <c:v>3039.1299490887582</c:v>
                </c:pt>
                <c:pt idx="47">
                  <c:v>3031.5863902899414</c:v>
                </c:pt>
                <c:pt idx="48">
                  <c:v>3023.2732204023673</c:v>
                </c:pt>
                <c:pt idx="49">
                  <c:v>3014.1947477810654</c:v>
                </c:pt>
                <c:pt idx="50">
                  <c:v>3004.3552807810661</c:v>
                </c:pt>
                <c:pt idx="51">
                  <c:v>2993.759127757397</c:v>
                </c:pt>
                <c:pt idx="52">
                  <c:v>2982.410597065089</c:v>
                </c:pt>
                <c:pt idx="53">
                  <c:v>2970.3139970591724</c:v>
                </c:pt>
                <c:pt idx="54">
                  <c:v>2957.4736360946745</c:v>
                </c:pt>
                <c:pt idx="55">
                  <c:v>2957.4736360946745</c:v>
                </c:pt>
                <c:pt idx="56">
                  <c:v>2665.5671473372781</c:v>
                </c:pt>
                <c:pt idx="57">
                  <c:v>2373.6606585798818</c:v>
                </c:pt>
                <c:pt idx="58">
                  <c:v>2081.7541698224854</c:v>
                </c:pt>
                <c:pt idx="59">
                  <c:v>1789.8476810650886</c:v>
                </c:pt>
                <c:pt idx="60">
                  <c:v>1497.9411923076923</c:v>
                </c:pt>
                <c:pt idx="61">
                  <c:v>1206.0347035502957</c:v>
                </c:pt>
                <c:pt idx="62">
                  <c:v>914.12821479289903</c:v>
                </c:pt>
                <c:pt idx="63">
                  <c:v>622.22172603550291</c:v>
                </c:pt>
                <c:pt idx="64">
                  <c:v>330.31523727810605</c:v>
                </c:pt>
                <c:pt idx="65">
                  <c:v>38.40874852070985</c:v>
                </c:pt>
                <c:pt idx="66">
                  <c:v>38.40874852070985</c:v>
                </c:pt>
                <c:pt idx="67">
                  <c:v>31.169249094674349</c:v>
                </c:pt>
                <c:pt idx="68">
                  <c:v>24.673510627218729</c:v>
                </c:pt>
                <c:pt idx="69">
                  <c:v>18.925841473372571</c:v>
                </c:pt>
                <c:pt idx="70">
                  <c:v>13.930549988165472</c:v>
                </c:pt>
                <c:pt idx="71">
                  <c:v>9.6919445266270081</c:v>
                </c:pt>
                <c:pt idx="72">
                  <c:v>6.2143334437867717</c:v>
                </c:pt>
                <c:pt idx="73">
                  <c:v>3.5020250946743401</c:v>
                </c:pt>
                <c:pt idx="74">
                  <c:v>1.5593278343193147</c:v>
                </c:pt>
                <c:pt idx="75">
                  <c:v>0.39055001775127202</c:v>
                </c:pt>
                <c:pt idx="76">
                  <c:v>-2.150763454052823E-13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5.3695928571428596E-2</c:v>
                </c:pt>
                <c:pt idx="90">
                  <c:v>0.27400885714285728</c:v>
                </c:pt>
                <c:pt idx="91" formatCode="General">
                  <c:v>0.74977650000000007</c:v>
                </c:pt>
                <c:pt idx="92" formatCode="General">
                  <c:v>1.569836571428572</c:v>
                </c:pt>
                <c:pt idx="93" formatCode="General">
                  <c:v>2.8230267857142861</c:v>
                </c:pt>
                <c:pt idx="94" formatCode="General">
                  <c:v>4.598184857142857</c:v>
                </c:pt>
                <c:pt idx="95" formatCode="General">
                  <c:v>6.9841485000000008</c:v>
                </c:pt>
                <c:pt idx="96" formatCode="General">
                  <c:v>10.069755428571431</c:v>
                </c:pt>
                <c:pt idx="97" formatCode="General">
                  <c:v>13.94384335714286</c:v>
                </c:pt>
                <c:pt idx="98" formatCode="General">
                  <c:v>18.695250000000005</c:v>
                </c:pt>
                <c:pt idx="99" formatCode="General">
                  <c:v>18.695250000000005</c:v>
                </c:pt>
                <c:pt idx="100" formatCode="General">
                  <c:v>41.129550000000009</c:v>
                </c:pt>
                <c:pt idx="101" formatCode="General">
                  <c:v>63.563850000000009</c:v>
                </c:pt>
                <c:pt idx="102" formatCode="General">
                  <c:v>85.998150000000024</c:v>
                </c:pt>
                <c:pt idx="103" formatCode="General">
                  <c:v>108.43245000000002</c:v>
                </c:pt>
                <c:pt idx="104" formatCode="General">
                  <c:v>130.86675000000002</c:v>
                </c:pt>
                <c:pt idx="105" formatCode="General">
                  <c:v>153.30105000000006</c:v>
                </c:pt>
                <c:pt idx="106" formatCode="General">
                  <c:v>175.73535000000007</c:v>
                </c:pt>
                <c:pt idx="107" formatCode="General">
                  <c:v>198.16965000000005</c:v>
                </c:pt>
                <c:pt idx="108" formatCode="General">
                  <c:v>220.60395000000005</c:v>
                </c:pt>
                <c:pt idx="109" formatCode="General">
                  <c:v>243.03825000000009</c:v>
                </c:pt>
                <c:pt idx="110" formatCode="General">
                  <c:v>243.03825000000009</c:v>
                </c:pt>
                <c:pt idx="111" formatCode="General">
                  <c:v>227.06085664285717</c:v>
                </c:pt>
                <c:pt idx="112" formatCode="General">
                  <c:v>210.20614457142864</c:v>
                </c:pt>
                <c:pt idx="113" formatCode="General">
                  <c:v>192.56295150000005</c:v>
                </c:pt>
                <c:pt idx="114" formatCode="General">
                  <c:v>174.2201151428572</c:v>
                </c:pt>
                <c:pt idx="115" formatCode="General">
                  <c:v>155.26647321428575</c:v>
                </c:pt>
                <c:pt idx="116" formatCode="General">
                  <c:v>135.79086342857144</c:v>
                </c:pt>
                <c:pt idx="117" formatCode="General">
                  <c:v>115.88212350000005</c:v>
                </c:pt>
                <c:pt idx="118" formatCode="General">
                  <c:v>95.629091142857163</c:v>
                </c:pt>
                <c:pt idx="119" formatCode="General">
                  <c:v>75.120604071428588</c:v>
                </c:pt>
                <c:pt idx="120" formatCode="General">
                  <c:v>54.44550000000001</c:v>
                </c:pt>
                <c:pt idx="121" formatCode="General">
                  <c:v>54.44550000000001</c:v>
                </c:pt>
                <c:pt idx="122" formatCode="General">
                  <c:v>54.44550000000001</c:v>
                </c:pt>
                <c:pt idx="123" formatCode="General">
                  <c:v>54.44550000000001</c:v>
                </c:pt>
                <c:pt idx="124" formatCode="General">
                  <c:v>54.44550000000001</c:v>
                </c:pt>
                <c:pt idx="125" formatCode="General">
                  <c:v>54.44550000000001</c:v>
                </c:pt>
                <c:pt idx="126" formatCode="General">
                  <c:v>54.44550000000001</c:v>
                </c:pt>
                <c:pt idx="127" formatCode="General">
                  <c:v>54.44550000000001</c:v>
                </c:pt>
                <c:pt idx="128" formatCode="General">
                  <c:v>54.44550000000001</c:v>
                </c:pt>
                <c:pt idx="129" formatCode="General">
                  <c:v>54.44550000000001</c:v>
                </c:pt>
                <c:pt idx="130" formatCode="General">
                  <c:v>54.44550000000001</c:v>
                </c:pt>
                <c:pt idx="131" formatCode="General">
                  <c:v>54.44550000000001</c:v>
                </c:pt>
                <c:pt idx="132" formatCode="General">
                  <c:v>54.44550000000001</c:v>
                </c:pt>
                <c:pt idx="133" formatCode="General">
                  <c:v>46.796255638504164</c:v>
                </c:pt>
                <c:pt idx="134" formatCode="General">
                  <c:v>39.130414055401666</c:v>
                </c:pt>
                <c:pt idx="135" formatCode="General">
                  <c:v>31.460033555401672</c:v>
                </c:pt>
                <c:pt idx="136" formatCode="General">
                  <c:v>23.797172443213292</c:v>
                </c:pt>
                <c:pt idx="137" formatCode="General">
                  <c:v>16.153889023545716</c:v>
                </c:pt>
                <c:pt idx="138" formatCode="General">
                  <c:v>8.5422416011080351</c:v>
                </c:pt>
                <c:pt idx="139" formatCode="General">
                  <c:v>0.97428848060942175</c:v>
                </c:pt>
                <c:pt idx="140" formatCode="General">
                  <c:v>-6.537912033240997</c:v>
                </c:pt>
                <c:pt idx="141" formatCode="General">
                  <c:v>-13.982301635734066</c:v>
                </c:pt>
                <c:pt idx="142" formatCode="General">
                  <c:v>-21.346822022160673</c:v>
                </c:pt>
                <c:pt idx="143" formatCode="General">
                  <c:v>-21.346822022160673</c:v>
                </c:pt>
                <c:pt idx="144" formatCode="General">
                  <c:v>-19.269833933518012</c:v>
                </c:pt>
                <c:pt idx="145" formatCode="General">
                  <c:v>-17.192845844875354</c:v>
                </c:pt>
                <c:pt idx="146" formatCode="General">
                  <c:v>-15.115857756232693</c:v>
                </c:pt>
                <c:pt idx="147" formatCode="General">
                  <c:v>-13.038869667590033</c:v>
                </c:pt>
                <c:pt idx="148" formatCode="General">
                  <c:v>-10.961881578947372</c:v>
                </c:pt>
                <c:pt idx="149" formatCode="General">
                  <c:v>-8.8848934903047105</c:v>
                </c:pt>
                <c:pt idx="150" formatCode="General">
                  <c:v>-6.8079054016620528</c:v>
                </c:pt>
                <c:pt idx="151" formatCode="General">
                  <c:v>-4.7309173130193924</c:v>
                </c:pt>
                <c:pt idx="152" formatCode="General">
                  <c:v>-2.6539292243767312</c:v>
                </c:pt>
                <c:pt idx="153" formatCode="General">
                  <c:v>-0.57694113573407046</c:v>
                </c:pt>
                <c:pt idx="154" formatCode="General">
                  <c:v>-0.57694113573407046</c:v>
                </c:pt>
                <c:pt idx="155" formatCode="General">
                  <c:v>-0.3045352063711898</c:v>
                </c:pt>
                <c:pt idx="156" formatCode="General">
                  <c:v>-0.11199849307479172</c:v>
                </c:pt>
                <c:pt idx="157" formatCode="General">
                  <c:v>1.2727308864265895E-2</c:v>
                </c:pt>
                <c:pt idx="158" formatCode="General">
                  <c:v>8.1700504155123949E-2</c:v>
                </c:pt>
                <c:pt idx="159" formatCode="General">
                  <c:v>0.1069793975069239</c:v>
                </c:pt>
                <c:pt idx="160" formatCode="General">
                  <c:v>0.10062229362880687</c:v>
                </c:pt>
                <c:pt idx="161" formatCode="General">
                  <c:v>7.4687497229914204E-2</c:v>
                </c:pt>
                <c:pt idx="162" formatCode="General">
                  <c:v>4.1233313019387409E-2</c:v>
                </c:pt>
                <c:pt idx="163" formatCode="General">
                  <c:v>1.2318045706367494E-2</c:v>
                </c:pt>
                <c:pt idx="164" formatCode="General">
                  <c:v>-4.5256279192912311E-15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D-4017-A63A-F14A28988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Thời gian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Mô-men motor M(t) [N·m]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 motor (N·m)</c:v>
          </c:tx>
          <c:spPr>
            <a:ln w="19050">
              <a:solidFill>
                <a:srgbClr val="1F4E78"/>
              </a:solidFill>
              <a:prstDash val="solid"/>
            </a:ln>
          </c:spPr>
          <c:xVal>
            <c:numRef>
              <c:f>Do_thi!$A$5:$A$169</c:f>
              <c:numCache>
                <c:formatCode>General</c:formatCode>
                <c:ptCount val="16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0.25</c:v>
                </c:pt>
                <c:pt idx="12">
                  <c:v>0.4</c:v>
                </c:pt>
                <c:pt idx="13">
                  <c:v>0.55000000000000004</c:v>
                </c:pt>
                <c:pt idx="14">
                  <c:v>0.7</c:v>
                </c:pt>
                <c:pt idx="15">
                  <c:v>0.85</c:v>
                </c:pt>
                <c:pt idx="16">
                  <c:v>1</c:v>
                </c:pt>
                <c:pt idx="17">
                  <c:v>1.1499999999999999</c:v>
                </c:pt>
                <c:pt idx="18">
                  <c:v>1.3</c:v>
                </c:pt>
                <c:pt idx="19">
                  <c:v>1.45</c:v>
                </c:pt>
                <c:pt idx="20">
                  <c:v>1.6</c:v>
                </c:pt>
                <c:pt idx="21">
                  <c:v>1.75</c:v>
                </c:pt>
                <c:pt idx="22">
                  <c:v>1.75</c:v>
                </c:pt>
                <c:pt idx="23">
                  <c:v>1.7749999999999999</c:v>
                </c:pt>
                <c:pt idx="24">
                  <c:v>1.8</c:v>
                </c:pt>
                <c:pt idx="25">
                  <c:v>1.825</c:v>
                </c:pt>
                <c:pt idx="26">
                  <c:v>1.85</c:v>
                </c:pt>
                <c:pt idx="27">
                  <c:v>1.875</c:v>
                </c:pt>
                <c:pt idx="28">
                  <c:v>1.9</c:v>
                </c:pt>
                <c:pt idx="29">
                  <c:v>1.925</c:v>
                </c:pt>
                <c:pt idx="30">
                  <c:v>1.95</c:v>
                </c:pt>
                <c:pt idx="31">
                  <c:v>1.9750000000000001</c:v>
                </c:pt>
                <c:pt idx="32">
                  <c:v>2</c:v>
                </c:pt>
                <c:pt idx="33">
                  <c:v>2</c:v>
                </c:pt>
                <c:pt idx="34">
                  <c:v>10</c:v>
                </c:pt>
                <c:pt idx="35">
                  <c:v>18</c:v>
                </c:pt>
                <c:pt idx="36">
                  <c:v>26</c:v>
                </c:pt>
                <c:pt idx="37">
                  <c:v>34</c:v>
                </c:pt>
                <c:pt idx="38">
                  <c:v>42</c:v>
                </c:pt>
                <c:pt idx="39">
                  <c:v>50</c:v>
                </c:pt>
                <c:pt idx="40">
                  <c:v>58</c:v>
                </c:pt>
                <c:pt idx="41">
                  <c:v>66</c:v>
                </c:pt>
                <c:pt idx="42">
                  <c:v>74</c:v>
                </c:pt>
                <c:pt idx="43">
                  <c:v>82</c:v>
                </c:pt>
                <c:pt idx="44">
                  <c:v>82</c:v>
                </c:pt>
                <c:pt idx="45">
                  <c:v>82.025000000000006</c:v>
                </c:pt>
                <c:pt idx="46">
                  <c:v>82.05</c:v>
                </c:pt>
                <c:pt idx="47">
                  <c:v>82.075000000000003</c:v>
                </c:pt>
                <c:pt idx="48">
                  <c:v>82.1</c:v>
                </c:pt>
                <c:pt idx="49">
                  <c:v>82.125</c:v>
                </c:pt>
                <c:pt idx="50">
                  <c:v>82.15</c:v>
                </c:pt>
                <c:pt idx="51">
                  <c:v>82.174999999999997</c:v>
                </c:pt>
                <c:pt idx="52">
                  <c:v>82.2</c:v>
                </c:pt>
                <c:pt idx="53">
                  <c:v>82.224999999999994</c:v>
                </c:pt>
                <c:pt idx="54">
                  <c:v>82.25</c:v>
                </c:pt>
                <c:pt idx="55">
                  <c:v>82.25</c:v>
                </c:pt>
                <c:pt idx="56">
                  <c:v>83.2</c:v>
                </c:pt>
                <c:pt idx="57">
                  <c:v>84.15</c:v>
                </c:pt>
                <c:pt idx="58">
                  <c:v>85.1</c:v>
                </c:pt>
                <c:pt idx="59">
                  <c:v>86.05</c:v>
                </c:pt>
                <c:pt idx="60">
                  <c:v>87</c:v>
                </c:pt>
                <c:pt idx="61">
                  <c:v>87.95</c:v>
                </c:pt>
                <c:pt idx="62">
                  <c:v>88.9</c:v>
                </c:pt>
                <c:pt idx="63">
                  <c:v>89.85</c:v>
                </c:pt>
                <c:pt idx="64">
                  <c:v>90.8</c:v>
                </c:pt>
                <c:pt idx="65">
                  <c:v>91.75</c:v>
                </c:pt>
                <c:pt idx="66">
                  <c:v>91.75</c:v>
                </c:pt>
                <c:pt idx="67">
                  <c:v>91.775000000000006</c:v>
                </c:pt>
                <c:pt idx="68">
                  <c:v>91.8</c:v>
                </c:pt>
                <c:pt idx="69">
                  <c:v>91.825000000000003</c:v>
                </c:pt>
                <c:pt idx="70">
                  <c:v>91.85</c:v>
                </c:pt>
                <c:pt idx="71">
                  <c:v>91.875</c:v>
                </c:pt>
                <c:pt idx="72">
                  <c:v>91.9</c:v>
                </c:pt>
                <c:pt idx="73">
                  <c:v>91.924999999999997</c:v>
                </c:pt>
                <c:pt idx="74">
                  <c:v>91.95</c:v>
                </c:pt>
                <c:pt idx="75">
                  <c:v>91.974999999999994</c:v>
                </c:pt>
                <c:pt idx="76">
                  <c:v>92</c:v>
                </c:pt>
                <c:pt idx="77">
                  <c:v>92</c:v>
                </c:pt>
                <c:pt idx="78">
                  <c:v>95</c:v>
                </c:pt>
                <c:pt idx="79">
                  <c:v>98</c:v>
                </c:pt>
                <c:pt idx="80">
                  <c:v>101</c:v>
                </c:pt>
                <c:pt idx="81">
                  <c:v>104</c:v>
                </c:pt>
                <c:pt idx="82">
                  <c:v>107</c:v>
                </c:pt>
                <c:pt idx="83">
                  <c:v>110</c:v>
                </c:pt>
                <c:pt idx="84">
                  <c:v>113</c:v>
                </c:pt>
                <c:pt idx="85">
                  <c:v>116</c:v>
                </c:pt>
                <c:pt idx="86">
                  <c:v>119</c:v>
                </c:pt>
                <c:pt idx="87">
                  <c:v>122</c:v>
                </c:pt>
                <c:pt idx="88">
                  <c:v>122</c:v>
                </c:pt>
                <c:pt idx="89">
                  <c:v>122.02500000000001</c:v>
                </c:pt>
                <c:pt idx="90">
                  <c:v>122.05</c:v>
                </c:pt>
                <c:pt idx="91">
                  <c:v>122.075</c:v>
                </c:pt>
                <c:pt idx="92">
                  <c:v>122.1</c:v>
                </c:pt>
                <c:pt idx="93">
                  <c:v>122.125</c:v>
                </c:pt>
                <c:pt idx="94">
                  <c:v>122.15</c:v>
                </c:pt>
                <c:pt idx="95">
                  <c:v>122.175</c:v>
                </c:pt>
                <c:pt idx="96">
                  <c:v>122.2</c:v>
                </c:pt>
                <c:pt idx="97">
                  <c:v>122.22499999999999</c:v>
                </c:pt>
                <c:pt idx="98">
                  <c:v>122.25</c:v>
                </c:pt>
                <c:pt idx="99">
                  <c:v>122.25</c:v>
                </c:pt>
                <c:pt idx="100">
                  <c:v>122.4</c:v>
                </c:pt>
                <c:pt idx="101">
                  <c:v>122.55</c:v>
                </c:pt>
                <c:pt idx="102">
                  <c:v>122.7</c:v>
                </c:pt>
                <c:pt idx="103">
                  <c:v>122.85</c:v>
                </c:pt>
                <c:pt idx="104">
                  <c:v>123</c:v>
                </c:pt>
                <c:pt idx="105">
                  <c:v>123.15</c:v>
                </c:pt>
                <c:pt idx="106">
                  <c:v>123.3</c:v>
                </c:pt>
                <c:pt idx="107">
                  <c:v>123.45</c:v>
                </c:pt>
                <c:pt idx="108">
                  <c:v>123.6</c:v>
                </c:pt>
                <c:pt idx="109">
                  <c:v>123.75</c:v>
                </c:pt>
                <c:pt idx="110">
                  <c:v>123.75</c:v>
                </c:pt>
                <c:pt idx="111">
                  <c:v>123.77500000000001</c:v>
                </c:pt>
                <c:pt idx="112">
                  <c:v>123.8</c:v>
                </c:pt>
                <c:pt idx="113">
                  <c:v>123.825</c:v>
                </c:pt>
                <c:pt idx="114">
                  <c:v>123.85</c:v>
                </c:pt>
                <c:pt idx="115">
                  <c:v>123.875</c:v>
                </c:pt>
                <c:pt idx="116">
                  <c:v>123.9</c:v>
                </c:pt>
                <c:pt idx="117">
                  <c:v>123.925</c:v>
                </c:pt>
                <c:pt idx="118">
                  <c:v>123.95</c:v>
                </c:pt>
                <c:pt idx="119">
                  <c:v>123.97499999999999</c:v>
                </c:pt>
                <c:pt idx="120">
                  <c:v>124</c:v>
                </c:pt>
                <c:pt idx="121">
                  <c:v>124</c:v>
                </c:pt>
                <c:pt idx="122">
                  <c:v>132.25</c:v>
                </c:pt>
                <c:pt idx="123">
                  <c:v>140.5</c:v>
                </c:pt>
                <c:pt idx="124">
                  <c:v>148.75</c:v>
                </c:pt>
                <c:pt idx="125">
                  <c:v>157</c:v>
                </c:pt>
                <c:pt idx="126">
                  <c:v>165.25</c:v>
                </c:pt>
                <c:pt idx="127">
                  <c:v>173.5</c:v>
                </c:pt>
                <c:pt idx="128">
                  <c:v>181.75</c:v>
                </c:pt>
                <c:pt idx="129">
                  <c:v>190</c:v>
                </c:pt>
                <c:pt idx="130">
                  <c:v>198.25</c:v>
                </c:pt>
                <c:pt idx="131">
                  <c:v>206.5</c:v>
                </c:pt>
                <c:pt idx="132">
                  <c:v>206.5</c:v>
                </c:pt>
                <c:pt idx="133">
                  <c:v>206.52500000000001</c:v>
                </c:pt>
                <c:pt idx="134">
                  <c:v>206.55</c:v>
                </c:pt>
                <c:pt idx="135">
                  <c:v>206.57499999999999</c:v>
                </c:pt>
                <c:pt idx="136">
                  <c:v>206.6</c:v>
                </c:pt>
                <c:pt idx="137">
                  <c:v>206.625</c:v>
                </c:pt>
                <c:pt idx="138">
                  <c:v>206.65</c:v>
                </c:pt>
                <c:pt idx="139">
                  <c:v>206.67500000000001</c:v>
                </c:pt>
                <c:pt idx="140">
                  <c:v>206.7</c:v>
                </c:pt>
                <c:pt idx="141">
                  <c:v>206.72499999999999</c:v>
                </c:pt>
                <c:pt idx="142">
                  <c:v>206.75</c:v>
                </c:pt>
                <c:pt idx="143">
                  <c:v>206.75</c:v>
                </c:pt>
                <c:pt idx="144">
                  <c:v>207.2</c:v>
                </c:pt>
                <c:pt idx="145">
                  <c:v>207.65</c:v>
                </c:pt>
                <c:pt idx="146">
                  <c:v>208.1</c:v>
                </c:pt>
                <c:pt idx="147">
                  <c:v>208.55</c:v>
                </c:pt>
                <c:pt idx="148">
                  <c:v>209</c:v>
                </c:pt>
                <c:pt idx="149">
                  <c:v>209.45</c:v>
                </c:pt>
                <c:pt idx="150">
                  <c:v>209.9</c:v>
                </c:pt>
                <c:pt idx="151">
                  <c:v>210.35</c:v>
                </c:pt>
                <c:pt idx="152">
                  <c:v>210.8</c:v>
                </c:pt>
                <c:pt idx="153">
                  <c:v>211.25</c:v>
                </c:pt>
                <c:pt idx="154">
                  <c:v>211.25</c:v>
                </c:pt>
                <c:pt idx="155">
                  <c:v>211.27500000000001</c:v>
                </c:pt>
                <c:pt idx="156">
                  <c:v>211.3</c:v>
                </c:pt>
                <c:pt idx="157">
                  <c:v>211.32499999999999</c:v>
                </c:pt>
                <c:pt idx="158">
                  <c:v>211.35</c:v>
                </c:pt>
                <c:pt idx="159">
                  <c:v>211.375</c:v>
                </c:pt>
                <c:pt idx="160">
                  <c:v>211.4</c:v>
                </c:pt>
                <c:pt idx="161">
                  <c:v>211.42500000000001</c:v>
                </c:pt>
                <c:pt idx="162">
                  <c:v>211.45</c:v>
                </c:pt>
                <c:pt idx="163">
                  <c:v>211.47499999999999</c:v>
                </c:pt>
                <c:pt idx="164">
                  <c:v>211.5</c:v>
                </c:pt>
              </c:numCache>
            </c:numRef>
          </c:xVal>
          <c:yVal>
            <c:numRef>
              <c:f>Do_thi!$E$5:$E$169</c:f>
              <c:numCache>
                <c:formatCode>#,##0.0000</c:formatCode>
                <c:ptCount val="165"/>
                <c:pt idx="0">
                  <c:v>31.790531250000001</c:v>
                </c:pt>
                <c:pt idx="1">
                  <c:v>32.115581250000005</c:v>
                </c:pt>
                <c:pt idx="2">
                  <c:v>32.440631250000003</c:v>
                </c:pt>
                <c:pt idx="3">
                  <c:v>32.76568125</c:v>
                </c:pt>
                <c:pt idx="4">
                  <c:v>33.090731250000005</c:v>
                </c:pt>
                <c:pt idx="5">
                  <c:v>33.415781250000002</c:v>
                </c:pt>
                <c:pt idx="6">
                  <c:v>33.740831249999999</c:v>
                </c:pt>
                <c:pt idx="7">
                  <c:v>34.065881250000004</c:v>
                </c:pt>
                <c:pt idx="8">
                  <c:v>34.390931250000001</c:v>
                </c:pt>
                <c:pt idx="9">
                  <c:v>34.715981250000006</c:v>
                </c:pt>
                <c:pt idx="10">
                  <c:v>35.041031250000003</c:v>
                </c:pt>
                <c:pt idx="11">
                  <c:v>35.041031250000003</c:v>
                </c:pt>
                <c:pt idx="12">
                  <c:v>35.041031250000003</c:v>
                </c:pt>
                <c:pt idx="13">
                  <c:v>35.041031250000003</c:v>
                </c:pt>
                <c:pt idx="14">
                  <c:v>35.041031250000003</c:v>
                </c:pt>
                <c:pt idx="15">
                  <c:v>35.041031250000003</c:v>
                </c:pt>
                <c:pt idx="16">
                  <c:v>35.041031250000003</c:v>
                </c:pt>
                <c:pt idx="17">
                  <c:v>35.041031250000003</c:v>
                </c:pt>
                <c:pt idx="18">
                  <c:v>35.041031250000003</c:v>
                </c:pt>
                <c:pt idx="19">
                  <c:v>35.041031250000003</c:v>
                </c:pt>
                <c:pt idx="20">
                  <c:v>35.041031250000003</c:v>
                </c:pt>
                <c:pt idx="21">
                  <c:v>35.041031250000003</c:v>
                </c:pt>
                <c:pt idx="22">
                  <c:v>35.041031250000003</c:v>
                </c:pt>
                <c:pt idx="23">
                  <c:v>34.715981250000006</c:v>
                </c:pt>
                <c:pt idx="24">
                  <c:v>34.390931250000001</c:v>
                </c:pt>
                <c:pt idx="25">
                  <c:v>34.065881250000004</c:v>
                </c:pt>
                <c:pt idx="26">
                  <c:v>33.740831250000006</c:v>
                </c:pt>
                <c:pt idx="27">
                  <c:v>33.415781250000002</c:v>
                </c:pt>
                <c:pt idx="28">
                  <c:v>33.090731250000005</c:v>
                </c:pt>
                <c:pt idx="29">
                  <c:v>32.76568125</c:v>
                </c:pt>
                <c:pt idx="30">
                  <c:v>32.440631250000003</c:v>
                </c:pt>
                <c:pt idx="31">
                  <c:v>32.115581250000005</c:v>
                </c:pt>
                <c:pt idx="32">
                  <c:v>31.790531250000001</c:v>
                </c:pt>
                <c:pt idx="33">
                  <c:v>31.790531250000001</c:v>
                </c:pt>
                <c:pt idx="34">
                  <c:v>31.790531250000001</c:v>
                </c:pt>
                <c:pt idx="35">
                  <c:v>31.790531250000001</c:v>
                </c:pt>
                <c:pt idx="36">
                  <c:v>31.790531250000001</c:v>
                </c:pt>
                <c:pt idx="37">
                  <c:v>31.790531250000001</c:v>
                </c:pt>
                <c:pt idx="38">
                  <c:v>31.790531250000001</c:v>
                </c:pt>
                <c:pt idx="39">
                  <c:v>31.790531250000001</c:v>
                </c:pt>
                <c:pt idx="40">
                  <c:v>31.790531250000001</c:v>
                </c:pt>
                <c:pt idx="41">
                  <c:v>31.790531250000001</c:v>
                </c:pt>
                <c:pt idx="42">
                  <c:v>31.790531250000001</c:v>
                </c:pt>
                <c:pt idx="43">
                  <c:v>31.790531250000001</c:v>
                </c:pt>
                <c:pt idx="44">
                  <c:v>31.790531250000001</c:v>
                </c:pt>
                <c:pt idx="45">
                  <c:v>31.732188942307697</c:v>
                </c:pt>
                <c:pt idx="46">
                  <c:v>31.673846634615391</c:v>
                </c:pt>
                <c:pt idx="47">
                  <c:v>31.615504326923077</c:v>
                </c:pt>
                <c:pt idx="48">
                  <c:v>31.55716201923077</c:v>
                </c:pt>
                <c:pt idx="49">
                  <c:v>31.498819711538463</c:v>
                </c:pt>
                <c:pt idx="50">
                  <c:v>31.44047740384616</c:v>
                </c:pt>
                <c:pt idx="51">
                  <c:v>31.382135096153849</c:v>
                </c:pt>
                <c:pt idx="52">
                  <c:v>31.323792788461539</c:v>
                </c:pt>
                <c:pt idx="53">
                  <c:v>31.265450480769235</c:v>
                </c:pt>
                <c:pt idx="54">
                  <c:v>31.207108173076922</c:v>
                </c:pt>
                <c:pt idx="55">
                  <c:v>31.207108173076922</c:v>
                </c:pt>
                <c:pt idx="56">
                  <c:v>31.207108173076922</c:v>
                </c:pt>
                <c:pt idx="57">
                  <c:v>31.207108173076922</c:v>
                </c:pt>
                <c:pt idx="58">
                  <c:v>31.207108173076922</c:v>
                </c:pt>
                <c:pt idx="59">
                  <c:v>31.207108173076922</c:v>
                </c:pt>
                <c:pt idx="60">
                  <c:v>31.207108173076922</c:v>
                </c:pt>
                <c:pt idx="61">
                  <c:v>31.207108173076922</c:v>
                </c:pt>
                <c:pt idx="62">
                  <c:v>31.207108173076922</c:v>
                </c:pt>
                <c:pt idx="63">
                  <c:v>31.207108173076922</c:v>
                </c:pt>
                <c:pt idx="64">
                  <c:v>31.207108173076922</c:v>
                </c:pt>
                <c:pt idx="65">
                  <c:v>31.207108173076922</c:v>
                </c:pt>
                <c:pt idx="66">
                  <c:v>31.207108173076922</c:v>
                </c:pt>
                <c:pt idx="67">
                  <c:v>31.265450480769235</c:v>
                </c:pt>
                <c:pt idx="68">
                  <c:v>31.323792788461539</c:v>
                </c:pt>
                <c:pt idx="69">
                  <c:v>31.382135096153849</c:v>
                </c:pt>
                <c:pt idx="70">
                  <c:v>31.44047740384616</c:v>
                </c:pt>
                <c:pt idx="71">
                  <c:v>31.498819711538463</c:v>
                </c:pt>
                <c:pt idx="72">
                  <c:v>31.55716201923077</c:v>
                </c:pt>
                <c:pt idx="73">
                  <c:v>31.615504326923077</c:v>
                </c:pt>
                <c:pt idx="74">
                  <c:v>31.673846634615391</c:v>
                </c:pt>
                <c:pt idx="75">
                  <c:v>31.732188942307697</c:v>
                </c:pt>
                <c:pt idx="76">
                  <c:v>31.790531250000001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-0.56714062500000006</c:v>
                </c:pt>
                <c:pt idx="89">
                  <c:v>-0.7830656250000001</c:v>
                </c:pt>
                <c:pt idx="90">
                  <c:v>-0.99899062500000013</c:v>
                </c:pt>
                <c:pt idx="91" formatCode="General">
                  <c:v>-1.2149156250000002</c:v>
                </c:pt>
                <c:pt idx="92" formatCode="General">
                  <c:v>-1.4308406250000001</c:v>
                </c:pt>
                <c:pt idx="93" formatCode="General">
                  <c:v>-1.646765625</c:v>
                </c:pt>
                <c:pt idx="94" formatCode="General">
                  <c:v>-1.8626906249999999</c:v>
                </c:pt>
                <c:pt idx="95" formatCode="General">
                  <c:v>-2.0786156250000003</c:v>
                </c:pt>
                <c:pt idx="96" formatCode="General">
                  <c:v>-2.2945406250000002</c:v>
                </c:pt>
                <c:pt idx="97" formatCode="General">
                  <c:v>-2.5104656250000001</c:v>
                </c:pt>
                <c:pt idx="98" formatCode="General">
                  <c:v>-2.7263906250000005</c:v>
                </c:pt>
                <c:pt idx="99" formatCode="General">
                  <c:v>-2.7263906250000005</c:v>
                </c:pt>
                <c:pt idx="100" formatCode="General">
                  <c:v>-2.7263906250000005</c:v>
                </c:pt>
                <c:pt idx="101" formatCode="General">
                  <c:v>-2.7263906250000005</c:v>
                </c:pt>
                <c:pt idx="102" formatCode="General">
                  <c:v>-2.7263906250000005</c:v>
                </c:pt>
                <c:pt idx="103" formatCode="General">
                  <c:v>-2.7263906250000005</c:v>
                </c:pt>
                <c:pt idx="104" formatCode="General">
                  <c:v>-2.7263906250000005</c:v>
                </c:pt>
                <c:pt idx="105" formatCode="General">
                  <c:v>-2.7263906250000005</c:v>
                </c:pt>
                <c:pt idx="106" formatCode="General">
                  <c:v>-2.7263906250000005</c:v>
                </c:pt>
                <c:pt idx="107" formatCode="General">
                  <c:v>-2.7263906250000005</c:v>
                </c:pt>
                <c:pt idx="108" formatCode="General">
                  <c:v>-2.7263906250000005</c:v>
                </c:pt>
                <c:pt idx="109" formatCode="General">
                  <c:v>-2.7263906250000005</c:v>
                </c:pt>
                <c:pt idx="110" formatCode="General">
                  <c:v>-2.7263906250000005</c:v>
                </c:pt>
                <c:pt idx="111" formatCode="General">
                  <c:v>-2.5104656250000001</c:v>
                </c:pt>
                <c:pt idx="112" formatCode="General">
                  <c:v>-2.2945406250000002</c:v>
                </c:pt>
                <c:pt idx="113" formatCode="General">
                  <c:v>-2.0786156250000003</c:v>
                </c:pt>
                <c:pt idx="114" formatCode="General">
                  <c:v>-1.8626906250000004</c:v>
                </c:pt>
                <c:pt idx="115" formatCode="General">
                  <c:v>-1.646765625</c:v>
                </c:pt>
                <c:pt idx="116" formatCode="General">
                  <c:v>-1.4308406250000001</c:v>
                </c:pt>
                <c:pt idx="117" formatCode="General">
                  <c:v>-1.2149156250000002</c:v>
                </c:pt>
                <c:pt idx="118" formatCode="General">
                  <c:v>-0.99899062500000002</c:v>
                </c:pt>
                <c:pt idx="119" formatCode="General">
                  <c:v>-0.78306562499999988</c:v>
                </c:pt>
                <c:pt idx="120" formatCode="General">
                  <c:v>-0.56714062500000006</c:v>
                </c:pt>
                <c:pt idx="121" formatCode="General">
                  <c:v>-0.56714062500000006</c:v>
                </c:pt>
                <c:pt idx="122" formatCode="General">
                  <c:v>-0.56714062500000006</c:v>
                </c:pt>
                <c:pt idx="123" formatCode="General">
                  <c:v>-0.56714062500000006</c:v>
                </c:pt>
                <c:pt idx="124" formatCode="General">
                  <c:v>-0.56714062500000006</c:v>
                </c:pt>
                <c:pt idx="125" formatCode="General">
                  <c:v>-0.56714062500000006</c:v>
                </c:pt>
                <c:pt idx="126" formatCode="General">
                  <c:v>-0.56714062500000006</c:v>
                </c:pt>
                <c:pt idx="127" formatCode="General">
                  <c:v>-0.56714062500000006</c:v>
                </c:pt>
                <c:pt idx="128" formatCode="General">
                  <c:v>-0.56714062500000006</c:v>
                </c:pt>
                <c:pt idx="129" formatCode="General">
                  <c:v>-0.56714062500000006</c:v>
                </c:pt>
                <c:pt idx="130" formatCode="General">
                  <c:v>-0.56714062500000006</c:v>
                </c:pt>
                <c:pt idx="131" formatCode="General">
                  <c:v>-0.56714062500000006</c:v>
                </c:pt>
                <c:pt idx="132" formatCode="General">
                  <c:v>-0.56714062500000006</c:v>
                </c:pt>
                <c:pt idx="133" formatCode="General">
                  <c:v>-0.4875893092105264</c:v>
                </c:pt>
                <c:pt idx="134" formatCode="General">
                  <c:v>-0.40803799342105262</c:v>
                </c:pt>
                <c:pt idx="135" formatCode="General">
                  <c:v>-0.32848667763157902</c:v>
                </c:pt>
                <c:pt idx="136" formatCode="General">
                  <c:v>-0.24893536184210519</c:v>
                </c:pt>
                <c:pt idx="137" formatCode="General">
                  <c:v>-0.16938404605263163</c:v>
                </c:pt>
                <c:pt idx="138" formatCode="General">
                  <c:v>-8.9832730263157912E-2</c:v>
                </c:pt>
                <c:pt idx="139" formatCode="General">
                  <c:v>-1.0281414473684247E-2</c:v>
                </c:pt>
                <c:pt idx="140" formatCode="General">
                  <c:v>6.9269901315789473E-2</c:v>
                </c:pt>
                <c:pt idx="141" formatCode="General">
                  <c:v>0.14882121710526308</c:v>
                </c:pt>
                <c:pt idx="142" formatCode="General">
                  <c:v>0.22837253289473691</c:v>
                </c:pt>
                <c:pt idx="143" formatCode="General">
                  <c:v>0.22837253289473691</c:v>
                </c:pt>
                <c:pt idx="144" formatCode="General">
                  <c:v>0.22837253289473691</c:v>
                </c:pt>
                <c:pt idx="145" formatCode="General">
                  <c:v>0.22837253289473691</c:v>
                </c:pt>
                <c:pt idx="146" formatCode="General">
                  <c:v>0.22837253289473691</c:v>
                </c:pt>
                <c:pt idx="147" formatCode="General">
                  <c:v>0.22837253289473691</c:v>
                </c:pt>
                <c:pt idx="148" formatCode="General">
                  <c:v>0.22837253289473691</c:v>
                </c:pt>
                <c:pt idx="149" formatCode="General">
                  <c:v>0.22837253289473691</c:v>
                </c:pt>
                <c:pt idx="150" formatCode="General">
                  <c:v>0.22837253289473691</c:v>
                </c:pt>
                <c:pt idx="151" formatCode="General">
                  <c:v>0.22837253289473691</c:v>
                </c:pt>
                <c:pt idx="152" formatCode="General">
                  <c:v>0.22837253289473691</c:v>
                </c:pt>
                <c:pt idx="153" formatCode="General">
                  <c:v>0.22837253289473691</c:v>
                </c:pt>
                <c:pt idx="154" formatCode="General">
                  <c:v>0.22837253289473691</c:v>
                </c:pt>
                <c:pt idx="155" formatCode="General">
                  <c:v>0.14882121710526308</c:v>
                </c:pt>
                <c:pt idx="156" formatCode="General">
                  <c:v>6.9269901315789473E-2</c:v>
                </c:pt>
                <c:pt idx="157" formatCode="General">
                  <c:v>-1.0281414473684247E-2</c:v>
                </c:pt>
                <c:pt idx="158" formatCode="General">
                  <c:v>-8.9832730263157912E-2</c:v>
                </c:pt>
                <c:pt idx="159" formatCode="General">
                  <c:v>-0.16938404605263163</c:v>
                </c:pt>
                <c:pt idx="160" formatCode="General">
                  <c:v>-0.24893536184210519</c:v>
                </c:pt>
                <c:pt idx="161" formatCode="General">
                  <c:v>-0.32848667763157902</c:v>
                </c:pt>
                <c:pt idx="162" formatCode="General">
                  <c:v>-0.40803799342105268</c:v>
                </c:pt>
                <c:pt idx="163" formatCode="General">
                  <c:v>-0.48758930921052634</c:v>
                </c:pt>
                <c:pt idx="164" formatCode="General">
                  <c:v>-0.56714062500000006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E-496B-AE32-70D1E02EE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Thời gian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38</xdr:row>
      <xdr:rowOff>247650</xdr:rowOff>
    </xdr:from>
    <xdr:ext cx="6438900" cy="3838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BE28B25-5E5D-4432-8858-378753E012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6315075"/>
          <a:ext cx="6438900" cy="38385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168089</xdr:colOff>
      <xdr:row>47</xdr:row>
      <xdr:rowOff>324971</xdr:rowOff>
    </xdr:from>
    <xdr:ext cx="6438900" cy="3838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60BE91-D081-439C-898F-4ECF24EA40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10265" y="19061206"/>
          <a:ext cx="6438900" cy="38385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20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20</xdr:col>
      <xdr:colOff>0</xdr:colOff>
      <xdr:row>49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20</xdr:col>
      <xdr:colOff>0</xdr:colOff>
      <xdr:row>65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CCAD-354B-4760-BAE4-9D3E4887BF40}">
  <sheetPr>
    <outlinePr summaryBelow="0" summaryRight="0"/>
    <pageSetUpPr fitToPage="1"/>
  </sheetPr>
  <dimension ref="A1:P54"/>
  <sheetViews>
    <sheetView workbookViewId="0">
      <selection activeCell="E18" sqref="E18"/>
    </sheetView>
  </sheetViews>
  <sheetFormatPr defaultColWidth="11" defaultRowHeight="15.75" customHeight="1"/>
  <cols>
    <col min="1" max="1" width="4.25" style="10" customWidth="1"/>
    <col min="2" max="2" width="35.625" style="10" customWidth="1"/>
    <col min="3" max="3" width="11" style="10"/>
    <col min="4" max="4" width="19.625" style="10" customWidth="1"/>
    <col min="5" max="5" width="10.875" style="10" customWidth="1"/>
    <col min="6" max="6" width="6.125" style="10" customWidth="1"/>
    <col min="7" max="7" width="7.375" style="10" customWidth="1"/>
    <col min="8" max="8" width="10.25" style="10" customWidth="1"/>
    <col min="9" max="9" width="4.25" style="10" customWidth="1"/>
    <col min="10" max="10" width="26.75" style="10" customWidth="1"/>
    <col min="11" max="11" width="7.875" style="10" customWidth="1"/>
    <col min="12" max="12" width="72.25" style="10" customWidth="1"/>
    <col min="13" max="13" width="10.875" style="10" customWidth="1"/>
    <col min="14" max="14" width="6.125" style="10" customWidth="1"/>
    <col min="15" max="16384" width="11" style="10"/>
  </cols>
  <sheetData>
    <row r="1" spans="1:14" ht="15.75" customHeight="1">
      <c r="A1" s="35"/>
      <c r="C1" s="35"/>
      <c r="D1" s="35"/>
      <c r="E1" s="35"/>
      <c r="F1" s="35"/>
      <c r="G1" s="23"/>
      <c r="H1" s="23"/>
      <c r="I1" s="23"/>
      <c r="J1" s="23"/>
      <c r="K1" s="23"/>
      <c r="L1" s="23"/>
      <c r="M1" s="23"/>
      <c r="N1" s="23"/>
    </row>
    <row r="2" spans="1:14" ht="15.75" customHeight="1">
      <c r="A2" s="35"/>
      <c r="B2" s="35"/>
      <c r="C2" s="35"/>
      <c r="D2" s="35"/>
      <c r="E2" s="35"/>
      <c r="F2" s="35"/>
      <c r="G2" s="23"/>
      <c r="H2" s="23"/>
      <c r="I2" s="23"/>
      <c r="J2" s="23" t="s">
        <v>323</v>
      </c>
      <c r="K2" s="23"/>
      <c r="L2" s="23"/>
      <c r="M2" s="23"/>
      <c r="N2" s="23"/>
    </row>
    <row r="3" spans="1:14" ht="15.75" customHeight="1">
      <c r="A3" s="35"/>
      <c r="B3" s="49" t="s">
        <v>322</v>
      </c>
      <c r="C3" s="26"/>
      <c r="D3" s="26"/>
      <c r="E3" s="35"/>
      <c r="F3" s="35"/>
      <c r="G3" s="23"/>
      <c r="H3" s="23"/>
      <c r="I3" s="23"/>
      <c r="J3" s="23"/>
      <c r="K3" s="23"/>
      <c r="L3" s="23"/>
      <c r="M3" s="23"/>
      <c r="N3" s="23"/>
    </row>
    <row r="4" spans="1:14" ht="15.75" customHeight="1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3"/>
      <c r="H4" s="48"/>
      <c r="I4" s="24" t="s">
        <v>1</v>
      </c>
      <c r="J4" s="24" t="s">
        <v>2</v>
      </c>
      <c r="K4" s="24" t="s">
        <v>3</v>
      </c>
      <c r="L4" s="24" t="s">
        <v>4</v>
      </c>
      <c r="M4" s="24" t="s">
        <v>5</v>
      </c>
      <c r="N4" s="24" t="s">
        <v>6</v>
      </c>
    </row>
    <row r="5" spans="1:14" ht="15.75" customHeight="1">
      <c r="A5" s="46">
        <v>1</v>
      </c>
      <c r="B5" s="46" t="s">
        <v>7</v>
      </c>
      <c r="C5" s="46" t="s">
        <v>8</v>
      </c>
      <c r="D5" s="46"/>
      <c r="E5" s="46">
        <v>1</v>
      </c>
      <c r="F5" s="46"/>
      <c r="G5" s="44"/>
      <c r="H5" s="47" t="s">
        <v>9</v>
      </c>
      <c r="I5" s="38">
        <v>1</v>
      </c>
      <c r="J5" s="38" t="s">
        <v>10</v>
      </c>
      <c r="K5" s="38" t="s">
        <v>11</v>
      </c>
      <c r="L5" s="38"/>
      <c r="M5" s="38">
        <v>2</v>
      </c>
      <c r="N5" s="38" t="s">
        <v>12</v>
      </c>
    </row>
    <row r="6" spans="1:14" ht="15.75" customHeight="1">
      <c r="A6" s="46">
        <v>2</v>
      </c>
      <c r="B6" s="46" t="s">
        <v>13</v>
      </c>
      <c r="C6" s="46" t="s">
        <v>14</v>
      </c>
      <c r="D6" s="46"/>
      <c r="E6" s="46">
        <v>11111</v>
      </c>
      <c r="F6" s="46" t="s">
        <v>15</v>
      </c>
      <c r="G6" s="44"/>
      <c r="H6" s="26"/>
      <c r="I6" s="38">
        <v>2</v>
      </c>
      <c r="J6" s="38" t="s">
        <v>16</v>
      </c>
      <c r="K6" s="38" t="s">
        <v>17</v>
      </c>
      <c r="L6" s="38"/>
      <c r="M6" s="38">
        <v>0.11</v>
      </c>
      <c r="N6" s="38" t="s">
        <v>18</v>
      </c>
    </row>
    <row r="7" spans="1:14" ht="15.75" customHeight="1">
      <c r="A7" s="46">
        <v>3</v>
      </c>
      <c r="B7" s="46" t="s">
        <v>19</v>
      </c>
      <c r="C7" s="46" t="s">
        <v>20</v>
      </c>
      <c r="D7" s="46"/>
      <c r="E7" s="46">
        <v>211</v>
      </c>
      <c r="F7" s="46" t="s">
        <v>15</v>
      </c>
      <c r="G7" s="44"/>
      <c r="H7" s="26"/>
      <c r="I7" s="38">
        <v>3</v>
      </c>
      <c r="J7" s="38" t="s">
        <v>21</v>
      </c>
      <c r="K7" s="38" t="s">
        <v>22</v>
      </c>
      <c r="L7" s="38" t="s">
        <v>23</v>
      </c>
      <c r="M7" s="38">
        <v>5.5E-2</v>
      </c>
      <c r="N7" s="38" t="s">
        <v>24</v>
      </c>
    </row>
    <row r="8" spans="1:14" ht="15.75" customHeight="1">
      <c r="A8" s="46">
        <v>4</v>
      </c>
      <c r="B8" s="46" t="s">
        <v>25</v>
      </c>
      <c r="C8" s="46" t="s">
        <v>26</v>
      </c>
      <c r="D8" s="46"/>
      <c r="E8" s="46">
        <v>11</v>
      </c>
      <c r="F8" s="46" t="s">
        <v>20</v>
      </c>
      <c r="G8" s="44"/>
      <c r="H8" s="26"/>
      <c r="I8" s="38">
        <v>4</v>
      </c>
      <c r="J8" s="38" t="s">
        <v>27</v>
      </c>
      <c r="K8" s="38" t="s">
        <v>28</v>
      </c>
      <c r="L8" s="38" t="s">
        <v>29</v>
      </c>
      <c r="M8" s="38">
        <v>22836.5</v>
      </c>
      <c r="N8" s="38" t="s">
        <v>30</v>
      </c>
    </row>
    <row r="9" spans="1:14" ht="15.75" customHeight="1">
      <c r="A9" s="46">
        <v>5</v>
      </c>
      <c r="B9" s="46" t="s">
        <v>31</v>
      </c>
      <c r="C9" s="46" t="s">
        <v>32</v>
      </c>
      <c r="D9" s="46"/>
      <c r="E9" s="46">
        <v>0.11</v>
      </c>
      <c r="F9" s="46" t="s">
        <v>18</v>
      </c>
      <c r="G9" s="44"/>
      <c r="H9" s="26"/>
      <c r="I9" s="38">
        <v>5</v>
      </c>
      <c r="J9" s="38" t="s">
        <v>33</v>
      </c>
      <c r="K9" s="38" t="s">
        <v>34</v>
      </c>
      <c r="L9" s="38" t="s">
        <v>35</v>
      </c>
      <c r="M9" s="38">
        <v>5.5E-2</v>
      </c>
      <c r="N9" s="38" t="s">
        <v>18</v>
      </c>
    </row>
    <row r="10" spans="1:14" ht="15.75" customHeight="1">
      <c r="A10" s="46">
        <v>6</v>
      </c>
      <c r="B10" s="46" t="s">
        <v>36</v>
      </c>
      <c r="C10" s="46" t="s">
        <v>37</v>
      </c>
      <c r="D10" s="46"/>
      <c r="E10" s="46">
        <v>0.5</v>
      </c>
      <c r="F10" s="46" t="s">
        <v>24</v>
      </c>
      <c r="G10" s="44"/>
      <c r="H10" s="26"/>
      <c r="I10" s="38">
        <v>6</v>
      </c>
      <c r="J10" s="38" t="s">
        <v>38</v>
      </c>
      <c r="K10" s="38" t="s">
        <v>39</v>
      </c>
      <c r="L10" s="38" t="s">
        <v>40</v>
      </c>
      <c r="M10" s="38">
        <v>1256</v>
      </c>
      <c r="N10" s="38" t="s">
        <v>41</v>
      </c>
    </row>
    <row r="11" spans="1:14" ht="15.75" customHeight="1">
      <c r="A11" s="46">
        <v>7</v>
      </c>
      <c r="B11" s="46" t="s">
        <v>42</v>
      </c>
      <c r="C11" s="46" t="s">
        <v>43</v>
      </c>
      <c r="D11" s="46"/>
      <c r="E11" s="46">
        <v>2</v>
      </c>
      <c r="F11" s="46" t="s">
        <v>44</v>
      </c>
      <c r="G11" s="44"/>
      <c r="H11" s="26"/>
      <c r="I11" s="33">
        <v>7</v>
      </c>
      <c r="J11" s="33" t="s">
        <v>45</v>
      </c>
      <c r="K11" s="33" t="s">
        <v>46</v>
      </c>
      <c r="L11" s="33"/>
      <c r="M11" s="33">
        <v>80</v>
      </c>
      <c r="N11" s="33" t="s">
        <v>12</v>
      </c>
    </row>
    <row r="12" spans="1:14" ht="15.75" customHeight="1">
      <c r="A12" s="45">
        <v>8</v>
      </c>
      <c r="B12" s="45" t="s">
        <v>47</v>
      </c>
      <c r="C12" s="45" t="s">
        <v>48</v>
      </c>
      <c r="D12" s="45"/>
      <c r="E12" s="45">
        <v>0.25</v>
      </c>
      <c r="F12" s="45" t="s">
        <v>20</v>
      </c>
      <c r="G12" s="44"/>
      <c r="H12" s="26"/>
      <c r="I12" s="33">
        <v>8</v>
      </c>
      <c r="J12" s="33" t="s">
        <v>49</v>
      </c>
      <c r="K12" s="33" t="s">
        <v>50</v>
      </c>
      <c r="L12" s="33" t="s">
        <v>51</v>
      </c>
      <c r="M12" s="33">
        <v>22213.759999999998</v>
      </c>
      <c r="N12" s="33" t="s">
        <v>30</v>
      </c>
    </row>
    <row r="13" spans="1:14" ht="15.75" customHeight="1">
      <c r="A13" s="45">
        <v>9</v>
      </c>
      <c r="B13" s="45" t="s">
        <v>52</v>
      </c>
      <c r="C13" s="45" t="s">
        <v>53</v>
      </c>
      <c r="D13" s="45"/>
      <c r="E13" s="45">
        <v>100</v>
      </c>
      <c r="F13" s="45"/>
      <c r="G13" s="44"/>
      <c r="H13" s="26"/>
      <c r="I13" s="33">
        <v>9</v>
      </c>
      <c r="J13" s="33" t="s">
        <v>54</v>
      </c>
      <c r="K13" s="33" t="s">
        <v>55</v>
      </c>
      <c r="L13" s="33" t="s">
        <v>56</v>
      </c>
      <c r="M13" s="33">
        <v>2443.5100000000002</v>
      </c>
      <c r="N13" s="33" t="s">
        <v>41</v>
      </c>
    </row>
    <row r="14" spans="1:14" ht="15.75" customHeight="1">
      <c r="A14" s="45">
        <v>10</v>
      </c>
      <c r="B14" s="45" t="s">
        <v>57</v>
      </c>
      <c r="C14" s="45" t="s">
        <v>58</v>
      </c>
      <c r="D14" s="45"/>
      <c r="E14" s="45">
        <v>0.2</v>
      </c>
      <c r="F14" s="45"/>
      <c r="G14" s="44"/>
      <c r="H14" s="26"/>
      <c r="I14" s="24">
        <v>10</v>
      </c>
      <c r="J14" s="24" t="s">
        <v>59</v>
      </c>
      <c r="K14" s="24" t="s">
        <v>60</v>
      </c>
      <c r="L14" s="24"/>
      <c r="M14" s="24">
        <v>10</v>
      </c>
      <c r="N14" s="24" t="s">
        <v>12</v>
      </c>
    </row>
    <row r="15" spans="1:14" ht="15.75" customHeight="1">
      <c r="A15" s="45">
        <v>11</v>
      </c>
      <c r="B15" s="45" t="s">
        <v>61</v>
      </c>
      <c r="C15" s="45" t="s">
        <v>62</v>
      </c>
      <c r="D15" s="45"/>
      <c r="E15" s="45">
        <v>0.96</v>
      </c>
      <c r="F15" s="45"/>
      <c r="G15" s="44"/>
      <c r="H15" s="26"/>
      <c r="I15" s="24">
        <v>11</v>
      </c>
      <c r="J15" s="24" t="s">
        <v>63</v>
      </c>
      <c r="K15" s="24" t="s">
        <v>64</v>
      </c>
      <c r="L15" s="24" t="s">
        <v>65</v>
      </c>
      <c r="M15" s="24">
        <v>-1.0999999999999999E-2</v>
      </c>
      <c r="N15" s="24" t="s">
        <v>24</v>
      </c>
    </row>
    <row r="16" spans="1:14" ht="15.75" customHeight="1">
      <c r="A16" s="45">
        <v>12</v>
      </c>
      <c r="B16" s="45" t="s">
        <v>66</v>
      </c>
      <c r="C16" s="45" t="s">
        <v>67</v>
      </c>
      <c r="D16" s="45"/>
      <c r="E16" s="45">
        <v>1.2</v>
      </c>
      <c r="F16" s="45"/>
      <c r="G16" s="44"/>
      <c r="H16" s="26"/>
      <c r="I16" s="24">
        <v>12</v>
      </c>
      <c r="J16" s="24" t="s">
        <v>68</v>
      </c>
      <c r="K16" s="24" t="s">
        <v>69</v>
      </c>
      <c r="L16" s="24" t="s">
        <v>70</v>
      </c>
      <c r="M16" s="24">
        <v>22089</v>
      </c>
      <c r="N16" s="24" t="s">
        <v>30</v>
      </c>
    </row>
    <row r="17" spans="1:14" ht="15.75" customHeight="1">
      <c r="A17" s="45">
        <v>13</v>
      </c>
      <c r="B17" s="45" t="s">
        <v>71</v>
      </c>
      <c r="C17" s="45" t="s">
        <v>72</v>
      </c>
      <c r="D17" s="45"/>
      <c r="E17" s="45">
        <v>9.81</v>
      </c>
      <c r="F17" s="45" t="s">
        <v>24</v>
      </c>
      <c r="G17" s="44"/>
      <c r="H17" s="26"/>
      <c r="I17" s="24">
        <v>13</v>
      </c>
      <c r="J17" s="24" t="s">
        <v>73</v>
      </c>
      <c r="K17" s="24" t="s">
        <v>74</v>
      </c>
      <c r="L17" s="24" t="s">
        <v>75</v>
      </c>
      <c r="M17" s="24">
        <v>5.5E-2</v>
      </c>
      <c r="N17" s="24" t="s">
        <v>18</v>
      </c>
    </row>
    <row r="18" spans="1:14" ht="15.75" customHeight="1">
      <c r="A18" s="40">
        <v>14</v>
      </c>
      <c r="B18" s="40" t="s">
        <v>76</v>
      </c>
      <c r="C18" s="40" t="s">
        <v>77</v>
      </c>
      <c r="D18" s="40" t="s">
        <v>78</v>
      </c>
      <c r="E18" s="40">
        <v>27874.763999999999</v>
      </c>
      <c r="F18" s="40" t="s">
        <v>30</v>
      </c>
      <c r="G18" s="44"/>
      <c r="H18" s="26"/>
      <c r="I18" s="24">
        <v>14</v>
      </c>
      <c r="J18" s="24" t="s">
        <v>79</v>
      </c>
      <c r="K18" s="24" t="s">
        <v>80</v>
      </c>
      <c r="L18" s="24" t="s">
        <v>81</v>
      </c>
      <c r="M18" s="24">
        <v>1214.9000000000001</v>
      </c>
      <c r="N18" s="24" t="s">
        <v>41</v>
      </c>
    </row>
    <row r="19" spans="1:14" ht="15.75" customHeight="1">
      <c r="A19" s="40">
        <v>15</v>
      </c>
      <c r="B19" s="40" t="s">
        <v>82</v>
      </c>
      <c r="C19" s="40" t="s">
        <v>83</v>
      </c>
      <c r="D19" s="40" t="s">
        <v>84</v>
      </c>
      <c r="E19" s="40">
        <v>3484.3454999999999</v>
      </c>
      <c r="F19" s="40" t="s">
        <v>85</v>
      </c>
      <c r="G19" s="23"/>
      <c r="H19" s="22"/>
      <c r="I19" s="42">
        <v>15</v>
      </c>
      <c r="J19" s="42" t="s">
        <v>86</v>
      </c>
      <c r="K19" s="42" t="s">
        <v>87</v>
      </c>
      <c r="L19" s="42"/>
      <c r="M19" s="43">
        <v>30</v>
      </c>
      <c r="N19" s="42" t="s">
        <v>12</v>
      </c>
    </row>
    <row r="20" spans="1:14" ht="15.75" customHeight="1">
      <c r="A20" s="40">
        <v>16</v>
      </c>
      <c r="B20" s="40" t="s">
        <v>88</v>
      </c>
      <c r="C20" s="40" t="s">
        <v>89</v>
      </c>
      <c r="D20" s="40" t="s">
        <v>90</v>
      </c>
      <c r="E20" s="40">
        <v>43.55</v>
      </c>
      <c r="F20" s="40" t="s">
        <v>85</v>
      </c>
      <c r="G20" s="23"/>
      <c r="H20" s="41" t="s">
        <v>91</v>
      </c>
      <c r="I20" s="38">
        <v>16</v>
      </c>
      <c r="J20" s="38" t="s">
        <v>10</v>
      </c>
      <c r="K20" s="38" t="s">
        <v>92</v>
      </c>
      <c r="L20" s="38"/>
      <c r="M20" s="39">
        <v>2</v>
      </c>
      <c r="N20" s="38" t="s">
        <v>12</v>
      </c>
    </row>
    <row r="21" spans="1:14" ht="15.75" customHeight="1">
      <c r="A21" s="40">
        <v>17</v>
      </c>
      <c r="B21" s="40" t="s">
        <v>93</v>
      </c>
      <c r="C21" s="40" t="s">
        <v>94</v>
      </c>
      <c r="D21" s="40" t="s">
        <v>95</v>
      </c>
      <c r="E21" s="40">
        <v>0.88</v>
      </c>
      <c r="F21" s="40" t="s">
        <v>96</v>
      </c>
      <c r="G21" s="23"/>
      <c r="H21" s="26"/>
      <c r="I21" s="38">
        <v>17</v>
      </c>
      <c r="J21" s="38" t="s">
        <v>16</v>
      </c>
      <c r="K21" s="38" t="s">
        <v>17</v>
      </c>
      <c r="L21" s="38"/>
      <c r="M21" s="39">
        <v>0.11</v>
      </c>
      <c r="N21" s="38" t="s">
        <v>18</v>
      </c>
    </row>
    <row r="22" spans="1:14" ht="15.75" customHeight="1">
      <c r="A22" s="40">
        <v>18</v>
      </c>
      <c r="B22" s="40" t="s">
        <v>97</v>
      </c>
      <c r="C22" s="40" t="s">
        <v>98</v>
      </c>
      <c r="D22" s="40" t="s">
        <v>99</v>
      </c>
      <c r="E22" s="40">
        <v>8.4</v>
      </c>
      <c r="F22" s="40" t="s">
        <v>100</v>
      </c>
      <c r="G22" s="23"/>
      <c r="H22" s="26"/>
      <c r="I22" s="38">
        <v>18</v>
      </c>
      <c r="J22" s="38" t="s">
        <v>21</v>
      </c>
      <c r="K22" s="38" t="s">
        <v>101</v>
      </c>
      <c r="L22" s="38" t="s">
        <v>102</v>
      </c>
      <c r="M22" s="39">
        <v>5.5E-2</v>
      </c>
      <c r="N22" s="38" t="s">
        <v>24</v>
      </c>
    </row>
    <row r="23" spans="1:14" ht="15.75" customHeight="1">
      <c r="A23" s="40">
        <v>19</v>
      </c>
      <c r="B23" s="40" t="s">
        <v>103</v>
      </c>
      <c r="C23" s="40" t="s">
        <v>104</v>
      </c>
      <c r="D23" s="40" t="s">
        <v>105</v>
      </c>
      <c r="E23" s="40">
        <v>840</v>
      </c>
      <c r="F23" s="40" t="s">
        <v>100</v>
      </c>
      <c r="G23" s="23"/>
      <c r="H23" s="26"/>
      <c r="I23" s="38">
        <v>19</v>
      </c>
      <c r="J23" s="38" t="s">
        <v>27</v>
      </c>
      <c r="K23" s="38" t="s">
        <v>106</v>
      </c>
      <c r="L23" s="38" t="s">
        <v>107</v>
      </c>
      <c r="M23" s="39">
        <v>425.6</v>
      </c>
      <c r="N23" s="38" t="s">
        <v>30</v>
      </c>
    </row>
    <row r="24" spans="1:14" ht="15.75" customHeight="1">
      <c r="A24" s="40">
        <v>20</v>
      </c>
      <c r="B24" s="40" t="s">
        <v>108</v>
      </c>
      <c r="C24" s="40" t="s">
        <v>109</v>
      </c>
      <c r="D24" s="40" t="s">
        <v>321</v>
      </c>
      <c r="E24" s="40">
        <v>3990.48</v>
      </c>
      <c r="F24" s="40" t="s">
        <v>41</v>
      </c>
      <c r="G24" s="23"/>
      <c r="H24" s="26"/>
      <c r="I24" s="38">
        <v>20</v>
      </c>
      <c r="J24" s="38" t="s">
        <v>33</v>
      </c>
      <c r="K24" s="38" t="s">
        <v>110</v>
      </c>
      <c r="L24" s="38" t="s">
        <v>111</v>
      </c>
      <c r="M24" s="39">
        <v>5.5E-2</v>
      </c>
      <c r="N24" s="38" t="s">
        <v>18</v>
      </c>
    </row>
    <row r="25" spans="1:14" ht="15.75" customHeight="1">
      <c r="A25" s="35"/>
      <c r="B25" s="35"/>
      <c r="C25" s="35"/>
      <c r="D25" s="35"/>
      <c r="E25" s="35"/>
      <c r="F25" s="35"/>
      <c r="G25" s="23"/>
      <c r="H25" s="26"/>
      <c r="I25" s="38">
        <v>21</v>
      </c>
      <c r="J25" s="38" t="s">
        <v>38</v>
      </c>
      <c r="K25" s="38" t="s">
        <v>112</v>
      </c>
      <c r="L25" s="38" t="s">
        <v>113</v>
      </c>
      <c r="M25" s="39">
        <v>23.41</v>
      </c>
      <c r="N25" s="38" t="s">
        <v>41</v>
      </c>
    </row>
    <row r="26" spans="1:14" ht="15.75" customHeight="1">
      <c r="A26" s="35"/>
      <c r="B26" s="36" t="s">
        <v>114</v>
      </c>
      <c r="C26" s="36" t="s">
        <v>115</v>
      </c>
      <c r="D26" s="37">
        <v>3990.48</v>
      </c>
      <c r="E26" s="36" t="s">
        <v>41</v>
      </c>
      <c r="F26" s="35"/>
      <c r="G26" s="23"/>
      <c r="H26" s="26"/>
      <c r="I26" s="33">
        <v>22</v>
      </c>
      <c r="J26" s="33" t="s">
        <v>45</v>
      </c>
      <c r="K26" s="33" t="s">
        <v>116</v>
      </c>
      <c r="L26" s="33"/>
      <c r="M26" s="34">
        <v>80</v>
      </c>
      <c r="N26" s="33" t="s">
        <v>12</v>
      </c>
    </row>
    <row r="27" spans="1:14" ht="15.75" customHeight="1">
      <c r="A27" s="35"/>
      <c r="B27" s="36" t="s">
        <v>320</v>
      </c>
      <c r="C27" s="36" t="s">
        <v>117</v>
      </c>
      <c r="D27" s="37">
        <v>840</v>
      </c>
      <c r="E27" s="36" t="s">
        <v>100</v>
      </c>
      <c r="F27" s="35"/>
      <c r="G27" s="23"/>
      <c r="H27" s="26"/>
      <c r="I27" s="33">
        <v>23</v>
      </c>
      <c r="J27" s="33" t="s">
        <v>49</v>
      </c>
      <c r="K27" s="33" t="s">
        <v>50</v>
      </c>
      <c r="L27" s="33" t="s">
        <v>118</v>
      </c>
      <c r="M27" s="34">
        <v>413.98</v>
      </c>
      <c r="N27" s="33" t="s">
        <v>30</v>
      </c>
    </row>
    <row r="28" spans="1:14" ht="15.75" customHeight="1">
      <c r="A28" s="35"/>
      <c r="B28" s="36"/>
      <c r="C28" s="36" t="s">
        <v>119</v>
      </c>
      <c r="D28" s="37">
        <v>43.55</v>
      </c>
      <c r="E28" s="36" t="s">
        <v>85</v>
      </c>
      <c r="F28" s="35"/>
      <c r="G28" s="23"/>
      <c r="H28" s="26"/>
      <c r="I28" s="33">
        <v>24</v>
      </c>
      <c r="J28" s="33" t="s">
        <v>54</v>
      </c>
      <c r="K28" s="33" t="s">
        <v>120</v>
      </c>
      <c r="L28" s="33" t="s">
        <v>121</v>
      </c>
      <c r="M28" s="34">
        <v>45.54</v>
      </c>
      <c r="N28" s="33" t="s">
        <v>41</v>
      </c>
    </row>
    <row r="29" spans="1:14" ht="15.75" customHeight="1">
      <c r="A29" s="23"/>
      <c r="B29" s="23"/>
      <c r="C29" s="23"/>
      <c r="D29" s="23"/>
      <c r="E29" s="23"/>
      <c r="F29" s="23"/>
      <c r="G29" s="23"/>
      <c r="H29" s="26"/>
      <c r="I29" s="24">
        <v>25</v>
      </c>
      <c r="J29" s="24" t="s">
        <v>59</v>
      </c>
      <c r="K29" s="24" t="s">
        <v>122</v>
      </c>
      <c r="L29" s="24"/>
      <c r="M29" s="25">
        <v>5</v>
      </c>
      <c r="N29" s="24" t="s">
        <v>12</v>
      </c>
    </row>
    <row r="30" spans="1:14" ht="15.75" customHeight="1">
      <c r="A30" s="23"/>
      <c r="B30" s="23"/>
      <c r="C30" s="23"/>
      <c r="D30" s="23"/>
      <c r="E30" s="23"/>
      <c r="F30" s="23"/>
      <c r="G30" s="23"/>
      <c r="H30" s="26"/>
      <c r="I30" s="24">
        <v>26</v>
      </c>
      <c r="J30" s="24" t="s">
        <v>63</v>
      </c>
      <c r="K30" s="24" t="s">
        <v>123</v>
      </c>
      <c r="L30" s="24" t="s">
        <v>124</v>
      </c>
      <c r="M30" s="25">
        <v>-2.1999999999999999E-2</v>
      </c>
      <c r="N30" s="24" t="s">
        <v>24</v>
      </c>
    </row>
    <row r="31" spans="1:14" ht="15.75" customHeight="1">
      <c r="A31" s="32" t="s">
        <v>125</v>
      </c>
      <c r="B31" s="31"/>
      <c r="C31" s="31"/>
      <c r="D31" s="30"/>
      <c r="E31" s="29"/>
      <c r="F31" s="23"/>
      <c r="G31" s="23"/>
      <c r="H31" s="26"/>
      <c r="I31" s="24">
        <v>27</v>
      </c>
      <c r="J31" s="24" t="s">
        <v>68</v>
      </c>
      <c r="K31" s="24" t="s">
        <v>69</v>
      </c>
      <c r="L31" s="24" t="s">
        <v>126</v>
      </c>
      <c r="M31" s="25">
        <v>409.34</v>
      </c>
      <c r="N31" s="24" t="s">
        <v>30</v>
      </c>
    </row>
    <row r="32" spans="1:14" ht="15.75" customHeight="1">
      <c r="A32" s="14" t="s">
        <v>1</v>
      </c>
      <c r="B32" s="14" t="s">
        <v>2</v>
      </c>
      <c r="C32" s="14" t="s">
        <v>5</v>
      </c>
      <c r="D32" s="14" t="s">
        <v>6</v>
      </c>
      <c r="E32" s="28" t="s">
        <v>127</v>
      </c>
      <c r="F32" s="23"/>
      <c r="G32" s="23"/>
      <c r="H32" s="26"/>
      <c r="I32" s="24">
        <v>28</v>
      </c>
      <c r="J32" s="24" t="s">
        <v>73</v>
      </c>
      <c r="K32" s="24" t="s">
        <v>128</v>
      </c>
      <c r="L32" s="24" t="s">
        <v>129</v>
      </c>
      <c r="M32" s="25">
        <v>5.5E-2</v>
      </c>
      <c r="N32" s="24" t="s">
        <v>18</v>
      </c>
    </row>
    <row r="33" spans="1:14" ht="15.75" customHeight="1">
      <c r="A33" s="13"/>
      <c r="B33" s="13"/>
      <c r="C33" s="27"/>
      <c r="D33" s="13"/>
      <c r="E33" s="13"/>
      <c r="F33" s="23"/>
      <c r="G33" s="23"/>
      <c r="H33" s="26"/>
      <c r="I33" s="24">
        <v>29</v>
      </c>
      <c r="J33" s="24" t="s">
        <v>79</v>
      </c>
      <c r="K33" s="24" t="s">
        <v>130</v>
      </c>
      <c r="L33" s="24" t="s">
        <v>131</v>
      </c>
      <c r="M33" s="25">
        <v>22.51</v>
      </c>
      <c r="N33" s="24" t="s">
        <v>41</v>
      </c>
    </row>
    <row r="34" spans="1:14" ht="15.75" customHeight="1">
      <c r="A34" s="14">
        <v>1</v>
      </c>
      <c r="B34" s="14" t="s">
        <v>132</v>
      </c>
      <c r="C34" s="14">
        <v>5.5</v>
      </c>
      <c r="D34" s="14" t="s">
        <v>133</v>
      </c>
      <c r="E34" s="14" t="s">
        <v>134</v>
      </c>
      <c r="F34" s="23"/>
      <c r="G34" s="23"/>
      <c r="H34" s="22"/>
      <c r="I34" s="20">
        <v>30</v>
      </c>
      <c r="J34" s="20" t="s">
        <v>319</v>
      </c>
      <c r="K34" s="20" t="s">
        <v>136</v>
      </c>
      <c r="L34" s="20" t="s">
        <v>318</v>
      </c>
      <c r="M34" s="21">
        <v>1540.12</v>
      </c>
      <c r="N34" s="20" t="s">
        <v>41</v>
      </c>
    </row>
    <row r="35" spans="1:14" ht="15.75" customHeight="1">
      <c r="A35" s="14">
        <v>2</v>
      </c>
      <c r="B35" s="14" t="s">
        <v>138</v>
      </c>
      <c r="C35" s="14">
        <v>400</v>
      </c>
      <c r="D35" s="14" t="s">
        <v>139</v>
      </c>
      <c r="E35" s="14" t="s">
        <v>140</v>
      </c>
      <c r="H35" s="18"/>
      <c r="I35" s="17">
        <v>31</v>
      </c>
      <c r="J35" s="17" t="s">
        <v>317</v>
      </c>
      <c r="K35" s="17" t="s">
        <v>142</v>
      </c>
      <c r="L35" s="17" t="s">
        <v>143</v>
      </c>
      <c r="M35" s="17">
        <f>2*0.11*100/0.25</f>
        <v>88</v>
      </c>
      <c r="N35" s="17" t="s">
        <v>96</v>
      </c>
    </row>
    <row r="36" spans="1:14" ht="15.75" customHeight="1">
      <c r="A36" s="14">
        <v>3</v>
      </c>
      <c r="B36" s="14" t="s">
        <v>144</v>
      </c>
      <c r="C36" s="14">
        <v>973</v>
      </c>
      <c r="D36" s="14" t="s">
        <v>145</v>
      </c>
      <c r="E36" s="14" t="s">
        <v>146</v>
      </c>
      <c r="H36" s="18"/>
      <c r="I36" s="17">
        <v>31</v>
      </c>
      <c r="J36" s="19" t="s">
        <v>316</v>
      </c>
      <c r="K36" s="17" t="s">
        <v>148</v>
      </c>
      <c r="L36" s="17" t="s">
        <v>315</v>
      </c>
      <c r="M36" s="17">
        <f>M34/M35</f>
        <v>17.501363636363635</v>
      </c>
      <c r="N36" s="17" t="s">
        <v>85</v>
      </c>
    </row>
    <row r="37" spans="1:14" ht="16.5">
      <c r="A37" s="14">
        <v>4</v>
      </c>
      <c r="B37" s="14" t="s">
        <v>150</v>
      </c>
      <c r="C37" s="14">
        <v>89.5</v>
      </c>
      <c r="D37" s="14" t="s">
        <v>151</v>
      </c>
      <c r="E37" s="14" t="s">
        <v>62</v>
      </c>
      <c r="H37" s="18"/>
      <c r="I37" s="17">
        <v>32</v>
      </c>
      <c r="J37" s="17" t="s">
        <v>314</v>
      </c>
      <c r="K37" s="17" t="s">
        <v>153</v>
      </c>
      <c r="L37" s="19" t="s">
        <v>313</v>
      </c>
      <c r="M37" s="17">
        <f>(E18*E12)/(2*100*0.96)</f>
        <v>36.295265624999999</v>
      </c>
      <c r="N37" s="17" t="s">
        <v>85</v>
      </c>
    </row>
    <row r="38" spans="1:14" ht="16.5">
      <c r="A38" s="14">
        <v>5</v>
      </c>
      <c r="B38" s="14" t="s">
        <v>155</v>
      </c>
      <c r="C38" s="14">
        <v>90.2</v>
      </c>
      <c r="D38" s="14" t="s">
        <v>151</v>
      </c>
      <c r="E38" s="13"/>
      <c r="H38" s="18"/>
      <c r="I38" s="17">
        <v>33</v>
      </c>
      <c r="J38" s="15" t="s">
        <v>312</v>
      </c>
      <c r="K38" s="15" t="s">
        <v>157</v>
      </c>
      <c r="L38" s="15" t="s">
        <v>311</v>
      </c>
      <c r="M38" s="16">
        <f>M34*1.2/0.96</f>
        <v>1925.1499999999999</v>
      </c>
      <c r="N38" s="15" t="s">
        <v>41</v>
      </c>
    </row>
    <row r="39" spans="1:14" ht="16.5">
      <c r="A39" s="14"/>
      <c r="B39" s="14" t="s">
        <v>159</v>
      </c>
      <c r="C39" s="14">
        <v>89.6</v>
      </c>
      <c r="D39" s="14" t="s">
        <v>151</v>
      </c>
      <c r="E39" s="14"/>
    </row>
    <row r="40" spans="1:14" ht="16.5">
      <c r="A40" s="14">
        <v>6</v>
      </c>
      <c r="B40" s="14" t="s">
        <v>160</v>
      </c>
      <c r="C40" s="14">
        <v>0.74</v>
      </c>
      <c r="D40" s="13"/>
      <c r="E40" s="14" t="s">
        <v>161</v>
      </c>
    </row>
    <row r="41" spans="1:14" ht="16.5">
      <c r="A41" s="14">
        <v>7</v>
      </c>
      <c r="B41" s="14" t="s">
        <v>163</v>
      </c>
      <c r="C41" s="14">
        <v>12</v>
      </c>
      <c r="D41" s="14" t="s">
        <v>164</v>
      </c>
      <c r="E41" s="14" t="s">
        <v>165</v>
      </c>
    </row>
    <row r="42" spans="1:14" ht="16.5">
      <c r="A42" s="14">
        <v>8</v>
      </c>
      <c r="B42" s="14" t="s">
        <v>167</v>
      </c>
      <c r="C42" s="14">
        <f>12*5.8</f>
        <v>69.599999999999994</v>
      </c>
      <c r="D42" s="14" t="s">
        <v>164</v>
      </c>
      <c r="E42" s="14" t="s">
        <v>168</v>
      </c>
    </row>
    <row r="43" spans="1:14" ht="16.5">
      <c r="A43" s="14">
        <v>9</v>
      </c>
      <c r="B43" s="14" t="s">
        <v>170</v>
      </c>
      <c r="C43" s="14">
        <v>53.9</v>
      </c>
      <c r="D43" s="14" t="s">
        <v>85</v>
      </c>
      <c r="E43" s="14" t="s">
        <v>171</v>
      </c>
    </row>
    <row r="44" spans="1:14" ht="16.5">
      <c r="A44" s="14">
        <v>10</v>
      </c>
      <c r="B44" s="14" t="s">
        <v>173</v>
      </c>
      <c r="C44" s="14">
        <f>53.9*2</f>
        <v>107.8</v>
      </c>
      <c r="D44" s="14" t="s">
        <v>85</v>
      </c>
      <c r="E44" s="14" t="s">
        <v>174</v>
      </c>
    </row>
    <row r="45" spans="1:14" ht="16.5">
      <c r="A45" s="14">
        <v>11</v>
      </c>
      <c r="B45" s="14" t="s">
        <v>175</v>
      </c>
      <c r="C45" s="14">
        <f>53.9*2.9</f>
        <v>156.31</v>
      </c>
      <c r="D45" s="14" t="s">
        <v>85</v>
      </c>
      <c r="E45" s="14" t="s">
        <v>176</v>
      </c>
    </row>
    <row r="46" spans="1:14" ht="16.5">
      <c r="A46" s="14">
        <v>12</v>
      </c>
      <c r="B46" s="14" t="s">
        <v>177</v>
      </c>
      <c r="C46" s="14">
        <v>50</v>
      </c>
      <c r="D46" s="14" t="s">
        <v>178</v>
      </c>
      <c r="E46" s="13"/>
    </row>
    <row r="47" spans="1:14" ht="16.5">
      <c r="A47" s="14">
        <v>13</v>
      </c>
      <c r="B47" s="14" t="s">
        <v>179</v>
      </c>
      <c r="C47" s="14">
        <v>3</v>
      </c>
      <c r="D47" s="14" t="s">
        <v>180</v>
      </c>
      <c r="E47" s="13"/>
    </row>
    <row r="48" spans="1:14" ht="16.5">
      <c r="A48" s="14">
        <v>14</v>
      </c>
      <c r="B48" s="14" t="s">
        <v>181</v>
      </c>
      <c r="C48" s="14">
        <v>3.9E-2</v>
      </c>
      <c r="D48" s="14" t="s">
        <v>182</v>
      </c>
      <c r="E48" s="14" t="s">
        <v>183</v>
      </c>
    </row>
    <row r="49" spans="1:16" ht="16.5">
      <c r="A49" s="14">
        <v>15</v>
      </c>
      <c r="B49" s="14" t="s">
        <v>184</v>
      </c>
      <c r="C49" s="14">
        <v>63</v>
      </c>
      <c r="D49" s="14" t="s">
        <v>310</v>
      </c>
      <c r="E49" s="13"/>
    </row>
    <row r="54" spans="1:16" ht="12.75">
      <c r="M54" s="11" t="s">
        <v>309</v>
      </c>
      <c r="N54" s="12">
        <v>114</v>
      </c>
      <c r="O54" s="11">
        <v>125</v>
      </c>
      <c r="P54" s="11">
        <v>59</v>
      </c>
    </row>
  </sheetData>
  <mergeCells count="4">
    <mergeCell ref="B3:D3"/>
    <mergeCell ref="H5:H18"/>
    <mergeCell ref="H20:H33"/>
    <mergeCell ref="A31:D31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9"/>
  <sheetViews>
    <sheetView showGridLines="0" tabSelected="1" zoomScale="70" zoomScaleNormal="70" workbookViewId="0">
      <pane ySplit="4" topLeftCell="A5" activePane="bottomLeft" state="frozen"/>
      <selection pane="bottomLeft" activeCell="D16" sqref="D16"/>
    </sheetView>
  </sheetViews>
  <sheetFormatPr defaultRowHeight="14.25"/>
  <cols>
    <col min="1" max="1" width="5" customWidth="1"/>
    <col min="2" max="2" width="42" customWidth="1"/>
    <col min="3" max="3" width="12" customWidth="1"/>
    <col min="4" max="4" width="36" customWidth="1"/>
    <col min="5" max="5" width="17" customWidth="1"/>
    <col min="6" max="6" width="12" customWidth="1"/>
    <col min="7" max="7" width="7" customWidth="1"/>
    <col min="8" max="8" width="8.125" customWidth="1"/>
    <col min="9" max="9" width="5" customWidth="1"/>
    <col min="10" max="10" width="37" customWidth="1"/>
    <col min="11" max="11" width="12" customWidth="1"/>
    <col min="12" max="12" width="36" customWidth="1"/>
    <col min="13" max="13" width="17" customWidth="1"/>
    <col min="14" max="14" width="12" customWidth="1"/>
  </cols>
  <sheetData>
    <row r="1" spans="1:14">
      <c r="A1" s="68" t="s">
        <v>332</v>
      </c>
      <c r="B1" s="68"/>
      <c r="C1" s="68"/>
      <c r="D1" s="68"/>
      <c r="E1" s="68"/>
      <c r="F1" s="68"/>
    </row>
    <row r="2" spans="1:14" ht="32.1" customHeight="1">
      <c r="A2" s="68"/>
      <c r="B2" s="68"/>
      <c r="C2" s="68"/>
      <c r="D2" s="68"/>
      <c r="E2" s="68"/>
      <c r="F2" s="68"/>
      <c r="G2" s="1"/>
      <c r="H2" s="1"/>
      <c r="I2" s="1"/>
      <c r="J2" s="1" t="s">
        <v>0</v>
      </c>
      <c r="K2" s="1"/>
      <c r="L2" s="1"/>
      <c r="M2" s="1"/>
      <c r="N2" s="1"/>
    </row>
    <row r="3" spans="1:14" ht="32.1" customHeight="1">
      <c r="A3" s="68"/>
      <c r="B3" s="68"/>
      <c r="C3" s="68"/>
      <c r="D3" s="68"/>
      <c r="E3" s="68"/>
      <c r="F3" s="68"/>
      <c r="G3" s="1"/>
      <c r="H3" s="1"/>
      <c r="I3" s="1"/>
      <c r="J3" s="1"/>
      <c r="K3" s="1"/>
      <c r="L3" s="1"/>
      <c r="M3" s="1"/>
      <c r="N3" s="1"/>
    </row>
    <row r="4" spans="1:14" ht="32.1" customHeight="1">
      <c r="A4" s="52" t="s">
        <v>1</v>
      </c>
      <c r="B4" s="52" t="s">
        <v>2</v>
      </c>
      <c r="C4" s="52" t="s">
        <v>3</v>
      </c>
      <c r="D4" s="52" t="s">
        <v>4</v>
      </c>
      <c r="E4" s="52" t="s">
        <v>5</v>
      </c>
      <c r="F4" s="52" t="s">
        <v>6</v>
      </c>
      <c r="G4" s="1"/>
      <c r="H4" s="62"/>
      <c r="I4" s="52" t="s">
        <v>1</v>
      </c>
      <c r="J4" s="52" t="s">
        <v>2</v>
      </c>
      <c r="K4" s="52" t="s">
        <v>3</v>
      </c>
      <c r="L4" s="52" t="s">
        <v>4</v>
      </c>
      <c r="M4" s="52" t="s">
        <v>5</v>
      </c>
      <c r="N4" s="52" t="s">
        <v>6</v>
      </c>
    </row>
    <row r="5" spans="1:14" ht="32.1" customHeight="1">
      <c r="A5" s="53">
        <v>1</v>
      </c>
      <c r="B5" s="53" t="s">
        <v>7</v>
      </c>
      <c r="C5" s="53" t="s">
        <v>8</v>
      </c>
      <c r="D5" s="53"/>
      <c r="E5" s="58">
        <v>2</v>
      </c>
      <c r="F5" s="53"/>
      <c r="G5" s="1"/>
      <c r="H5" s="64" t="s">
        <v>9</v>
      </c>
      <c r="I5" s="62">
        <v>1</v>
      </c>
      <c r="J5" s="62" t="s">
        <v>10</v>
      </c>
      <c r="K5" s="62" t="s">
        <v>11</v>
      </c>
      <c r="L5" s="62"/>
      <c r="M5" s="63">
        <v>2</v>
      </c>
      <c r="N5" s="62" t="s">
        <v>12</v>
      </c>
    </row>
    <row r="6" spans="1:14" ht="32.1" customHeight="1">
      <c r="A6" s="53">
        <v>2</v>
      </c>
      <c r="B6" s="53" t="s">
        <v>13</v>
      </c>
      <c r="C6" s="53" t="s">
        <v>14</v>
      </c>
      <c r="D6" s="53"/>
      <c r="E6" s="58">
        <f>10000+1111*E5</f>
        <v>12222</v>
      </c>
      <c r="F6" s="53" t="s">
        <v>15</v>
      </c>
      <c r="G6" s="1"/>
      <c r="H6" s="65"/>
      <c r="I6" s="62">
        <v>2</v>
      </c>
      <c r="J6" s="62" t="s">
        <v>16</v>
      </c>
      <c r="K6" s="62" t="s">
        <v>17</v>
      </c>
      <c r="L6" s="62"/>
      <c r="M6" s="63">
        <f>E9</f>
        <v>0.12000000000000001</v>
      </c>
      <c r="N6" s="62" t="s">
        <v>18</v>
      </c>
    </row>
    <row r="7" spans="1:14" ht="32.1" customHeight="1">
      <c r="A7" s="53">
        <v>3</v>
      </c>
      <c r="B7" s="53" t="s">
        <v>19</v>
      </c>
      <c r="C7" s="53" t="s">
        <v>20</v>
      </c>
      <c r="D7" s="53"/>
      <c r="E7" s="57">
        <f>200+11*E5</f>
        <v>222</v>
      </c>
      <c r="F7" s="53" t="s">
        <v>15</v>
      </c>
      <c r="G7" s="1"/>
      <c r="H7" s="65"/>
      <c r="I7" s="62">
        <v>3</v>
      </c>
      <c r="J7" s="62" t="s">
        <v>21</v>
      </c>
      <c r="K7" s="62" t="s">
        <v>22</v>
      </c>
      <c r="L7" s="62" t="s">
        <v>23</v>
      </c>
      <c r="M7" s="63">
        <f>M6/M5</f>
        <v>6.0000000000000005E-2</v>
      </c>
      <c r="N7" s="62" t="s">
        <v>24</v>
      </c>
    </row>
    <row r="8" spans="1:14" ht="32.1" customHeight="1">
      <c r="A8" s="53">
        <v>4</v>
      </c>
      <c r="B8" s="53" t="s">
        <v>25</v>
      </c>
      <c r="C8" s="53" t="s">
        <v>26</v>
      </c>
      <c r="D8" s="53"/>
      <c r="E8" s="57">
        <f>10+E5</f>
        <v>12</v>
      </c>
      <c r="F8" s="53" t="s">
        <v>20</v>
      </c>
      <c r="G8" s="1"/>
      <c r="H8" s="65"/>
      <c r="I8" s="62">
        <v>4</v>
      </c>
      <c r="J8" s="62" t="s">
        <v>27</v>
      </c>
      <c r="K8" s="62" t="s">
        <v>28</v>
      </c>
      <c r="L8" s="62" t="s">
        <v>29</v>
      </c>
      <c r="M8" s="63">
        <f>(E6+E7+E51)*(E14*E17+M7)</f>
        <v>25161.768000000004</v>
      </c>
      <c r="N8" s="62" t="s">
        <v>30</v>
      </c>
    </row>
    <row r="9" spans="1:14" ht="32.1" customHeight="1">
      <c r="A9" s="53">
        <v>5</v>
      </c>
      <c r="B9" s="53" t="s">
        <v>31</v>
      </c>
      <c r="C9" s="53" t="s">
        <v>32</v>
      </c>
      <c r="D9" s="53"/>
      <c r="E9" s="57">
        <f>0.1+E5/100</f>
        <v>0.12000000000000001</v>
      </c>
      <c r="F9" s="53" t="s">
        <v>18</v>
      </c>
      <c r="G9" s="1"/>
      <c r="H9" s="65"/>
      <c r="I9" s="62">
        <v>5</v>
      </c>
      <c r="J9" s="62" t="s">
        <v>33</v>
      </c>
      <c r="K9" s="62" t="s">
        <v>34</v>
      </c>
      <c r="L9" s="62" t="s">
        <v>35</v>
      </c>
      <c r="M9" s="63">
        <f>M6/2</f>
        <v>6.0000000000000005E-2</v>
      </c>
      <c r="N9" s="62" t="s">
        <v>18</v>
      </c>
    </row>
    <row r="10" spans="1:14" ht="32.1" customHeight="1">
      <c r="A10" s="53">
        <v>6</v>
      </c>
      <c r="B10" s="53" t="s">
        <v>36</v>
      </c>
      <c r="C10" s="53" t="s">
        <v>37</v>
      </c>
      <c r="D10" s="53"/>
      <c r="E10" s="57">
        <v>0.5</v>
      </c>
      <c r="F10" s="53" t="s">
        <v>24</v>
      </c>
      <c r="G10" s="1"/>
      <c r="H10" s="65"/>
      <c r="I10" s="62">
        <v>6</v>
      </c>
      <c r="J10" s="62" t="s">
        <v>38</v>
      </c>
      <c r="K10" s="62" t="s">
        <v>39</v>
      </c>
      <c r="L10" s="62" t="s">
        <v>40</v>
      </c>
      <c r="M10" s="63">
        <f>M8*M9</f>
        <v>1509.7060800000004</v>
      </c>
      <c r="N10" s="62" t="s">
        <v>41</v>
      </c>
    </row>
    <row r="11" spans="1:14" ht="32.1" customHeight="1">
      <c r="A11" s="53">
        <v>7</v>
      </c>
      <c r="B11" s="53" t="s">
        <v>42</v>
      </c>
      <c r="C11" s="53" t="s">
        <v>43</v>
      </c>
      <c r="D11" s="53"/>
      <c r="E11" s="57">
        <v>2</v>
      </c>
      <c r="F11" s="53" t="s">
        <v>44</v>
      </c>
      <c r="G11" s="1"/>
      <c r="H11" s="65"/>
      <c r="I11" s="62">
        <v>7</v>
      </c>
      <c r="J11" s="62" t="s">
        <v>45</v>
      </c>
      <c r="K11" s="62" t="s">
        <v>46</v>
      </c>
      <c r="L11" s="62"/>
      <c r="M11" s="63">
        <v>80</v>
      </c>
      <c r="N11" s="62" t="s">
        <v>12</v>
      </c>
    </row>
    <row r="12" spans="1:14" ht="32.1" customHeight="1">
      <c r="A12" s="54">
        <v>8</v>
      </c>
      <c r="B12" s="54" t="s">
        <v>47</v>
      </c>
      <c r="C12" s="54" t="s">
        <v>48</v>
      </c>
      <c r="D12" s="54"/>
      <c r="E12" s="59">
        <v>0.25</v>
      </c>
      <c r="F12" s="54" t="s">
        <v>20</v>
      </c>
      <c r="G12" s="1"/>
      <c r="H12" s="65"/>
      <c r="I12" s="62">
        <v>8</v>
      </c>
      <c r="J12" s="62" t="s">
        <v>49</v>
      </c>
      <c r="K12" s="62" t="s">
        <v>50</v>
      </c>
      <c r="L12" s="62" t="s">
        <v>51</v>
      </c>
      <c r="M12" s="63">
        <f>(E6+E7+E51)*E14*E17</f>
        <v>24415.128000000004</v>
      </c>
      <c r="N12" s="62" t="s">
        <v>30</v>
      </c>
    </row>
    <row r="13" spans="1:14" ht="32.1" customHeight="1">
      <c r="A13" s="54">
        <v>9</v>
      </c>
      <c r="B13" s="54" t="s">
        <v>52</v>
      </c>
      <c r="C13" s="54" t="s">
        <v>53</v>
      </c>
      <c r="D13" s="54"/>
      <c r="E13" s="59">
        <v>100</v>
      </c>
      <c r="F13" s="54"/>
      <c r="G13" s="1"/>
      <c r="H13" s="65"/>
      <c r="I13" s="62">
        <v>9</v>
      </c>
      <c r="J13" s="62" t="s">
        <v>54</v>
      </c>
      <c r="K13" s="62" t="s">
        <v>55</v>
      </c>
      <c r="L13" s="62" t="s">
        <v>56</v>
      </c>
      <c r="M13" s="63">
        <f>M12*M6</f>
        <v>2929.815360000001</v>
      </c>
      <c r="N13" s="62" t="s">
        <v>41</v>
      </c>
    </row>
    <row r="14" spans="1:14" ht="32.1" customHeight="1">
      <c r="A14" s="54">
        <v>10</v>
      </c>
      <c r="B14" s="54" t="s">
        <v>57</v>
      </c>
      <c r="C14" s="54" t="s">
        <v>58</v>
      </c>
      <c r="D14" s="54"/>
      <c r="E14" s="59">
        <v>0.2</v>
      </c>
      <c r="F14" s="54"/>
      <c r="G14" s="1"/>
      <c r="H14" s="65"/>
      <c r="I14" s="62">
        <v>10</v>
      </c>
      <c r="J14" s="62" t="s">
        <v>59</v>
      </c>
      <c r="K14" s="62" t="s">
        <v>60</v>
      </c>
      <c r="L14" s="62"/>
      <c r="M14" s="63">
        <v>10</v>
      </c>
      <c r="N14" s="62" t="s">
        <v>12</v>
      </c>
    </row>
    <row r="15" spans="1:14" ht="32.1" customHeight="1">
      <c r="A15" s="54">
        <v>11</v>
      </c>
      <c r="B15" s="54" t="s">
        <v>61</v>
      </c>
      <c r="C15" s="54" t="s">
        <v>62</v>
      </c>
      <c r="D15" s="54"/>
      <c r="E15" s="59">
        <v>0.96</v>
      </c>
      <c r="F15" s="54"/>
      <c r="G15" s="1"/>
      <c r="H15" s="65"/>
      <c r="I15" s="62">
        <v>11</v>
      </c>
      <c r="J15" s="62" t="s">
        <v>63</v>
      </c>
      <c r="K15" s="62" t="s">
        <v>64</v>
      </c>
      <c r="L15" s="62" t="s">
        <v>65</v>
      </c>
      <c r="M15" s="63">
        <f>-M6/M14</f>
        <v>-1.2E-2</v>
      </c>
      <c r="N15" s="62" t="s">
        <v>24</v>
      </c>
    </row>
    <row r="16" spans="1:14" ht="32.1" customHeight="1">
      <c r="A16" s="54">
        <v>12</v>
      </c>
      <c r="B16" s="54" t="s">
        <v>66</v>
      </c>
      <c r="C16" s="54" t="s">
        <v>67</v>
      </c>
      <c r="D16" s="54"/>
      <c r="E16" s="59">
        <v>1.2</v>
      </c>
      <c r="F16" s="54"/>
      <c r="G16" s="1"/>
      <c r="H16" s="65"/>
      <c r="I16" s="62">
        <v>12</v>
      </c>
      <c r="J16" s="62" t="s">
        <v>68</v>
      </c>
      <c r="K16" s="62" t="s">
        <v>69</v>
      </c>
      <c r="L16" s="62" t="s">
        <v>70</v>
      </c>
      <c r="M16" s="63">
        <f>(E6+E7+E51)*(E14*E17+M15)</f>
        <v>24265.800000000003</v>
      </c>
      <c r="N16" s="62" t="s">
        <v>30</v>
      </c>
    </row>
    <row r="17" spans="1:14" ht="32.1" customHeight="1">
      <c r="A17" s="54">
        <v>13</v>
      </c>
      <c r="B17" s="54" t="s">
        <v>71</v>
      </c>
      <c r="C17" s="54" t="s">
        <v>72</v>
      </c>
      <c r="D17" s="54"/>
      <c r="E17" s="55">
        <v>9.81</v>
      </c>
      <c r="F17" s="54" t="s">
        <v>24</v>
      </c>
      <c r="G17" s="1"/>
      <c r="H17" s="65"/>
      <c r="I17" s="62">
        <v>13</v>
      </c>
      <c r="J17" s="62" t="s">
        <v>73</v>
      </c>
      <c r="K17" s="62" t="s">
        <v>74</v>
      </c>
      <c r="L17" s="62" t="s">
        <v>75</v>
      </c>
      <c r="M17" s="63">
        <f>M6/2</f>
        <v>6.0000000000000005E-2</v>
      </c>
      <c r="N17" s="62" t="s">
        <v>18</v>
      </c>
    </row>
    <row r="18" spans="1:14" ht="32.1" customHeight="1">
      <c r="A18" s="56">
        <v>14</v>
      </c>
      <c r="B18" s="56" t="s">
        <v>76</v>
      </c>
      <c r="C18" s="56" t="s">
        <v>77</v>
      </c>
      <c r="D18" s="56" t="s">
        <v>326</v>
      </c>
      <c r="E18" s="69">
        <f>(E6+E7+E51)*(E14*E17+E10)</f>
        <v>30637.128000000001</v>
      </c>
      <c r="F18" s="56" t="s">
        <v>30</v>
      </c>
      <c r="G18" s="1"/>
      <c r="H18" s="65"/>
      <c r="I18" s="62">
        <v>14</v>
      </c>
      <c r="J18" s="62" t="s">
        <v>79</v>
      </c>
      <c r="K18" s="62" t="s">
        <v>80</v>
      </c>
      <c r="L18" s="62" t="s">
        <v>81</v>
      </c>
      <c r="M18" s="63">
        <f>M16*M17</f>
        <v>1455.9480000000003</v>
      </c>
      <c r="N18" s="62" t="s">
        <v>41</v>
      </c>
    </row>
    <row r="19" spans="1:14" ht="32.1" customHeight="1">
      <c r="A19" s="56">
        <v>15</v>
      </c>
      <c r="B19" s="56" t="s">
        <v>82</v>
      </c>
      <c r="C19" s="56" t="s">
        <v>83</v>
      </c>
      <c r="D19" s="56" t="s">
        <v>327</v>
      </c>
      <c r="E19" s="69">
        <f>E18*E12/2</f>
        <v>3829.6410000000001</v>
      </c>
      <c r="F19" s="56" t="s">
        <v>85</v>
      </c>
      <c r="G19" s="1"/>
      <c r="H19" s="66"/>
      <c r="I19" s="62">
        <v>15</v>
      </c>
      <c r="J19" s="62" t="s">
        <v>86</v>
      </c>
      <c r="K19" s="62" t="s">
        <v>335</v>
      </c>
      <c r="L19" s="62"/>
      <c r="M19" s="63">
        <v>30</v>
      </c>
      <c r="N19" s="62" t="s">
        <v>12</v>
      </c>
    </row>
    <row r="20" spans="1:14" ht="32.1" customHeight="1">
      <c r="A20" s="56">
        <v>16</v>
      </c>
      <c r="B20" s="56" t="s">
        <v>88</v>
      </c>
      <c r="C20" s="56" t="s">
        <v>89</v>
      </c>
      <c r="D20" s="56" t="s">
        <v>328</v>
      </c>
      <c r="E20" s="69">
        <f>E16*E19/(E15*E13)</f>
        <v>47.870512499999997</v>
      </c>
      <c r="F20" s="56" t="s">
        <v>85</v>
      </c>
      <c r="G20" s="1"/>
      <c r="H20" s="64" t="s">
        <v>91</v>
      </c>
      <c r="I20" s="62">
        <v>16</v>
      </c>
      <c r="J20" s="62" t="s">
        <v>10</v>
      </c>
      <c r="K20" s="62" t="s">
        <v>92</v>
      </c>
      <c r="L20" s="62"/>
      <c r="M20" s="72">
        <v>2</v>
      </c>
      <c r="N20" s="62" t="s">
        <v>12</v>
      </c>
    </row>
    <row r="21" spans="1:14" ht="32.1" customHeight="1">
      <c r="A21" s="56">
        <v>17</v>
      </c>
      <c r="B21" s="56" t="s">
        <v>93</v>
      </c>
      <c r="C21" s="56" t="s">
        <v>94</v>
      </c>
      <c r="D21" s="56" t="s">
        <v>329</v>
      </c>
      <c r="E21" s="69">
        <f>2*E9/E12</f>
        <v>0.96000000000000008</v>
      </c>
      <c r="F21" s="56" t="s">
        <v>96</v>
      </c>
      <c r="G21" s="1"/>
      <c r="H21" s="65"/>
      <c r="I21" s="62">
        <v>17</v>
      </c>
      <c r="J21" s="62" t="s">
        <v>16</v>
      </c>
      <c r="K21" s="62" t="s">
        <v>17</v>
      </c>
      <c r="L21" s="62"/>
      <c r="M21" s="72">
        <f>E9</f>
        <v>0.12000000000000001</v>
      </c>
      <c r="N21" s="62" t="s">
        <v>18</v>
      </c>
    </row>
    <row r="22" spans="1:14" ht="32.1" customHeight="1">
      <c r="A22" s="56">
        <v>18</v>
      </c>
      <c r="B22" s="56" t="s">
        <v>97</v>
      </c>
      <c r="C22" s="56" t="s">
        <v>98</v>
      </c>
      <c r="D22" s="56" t="s">
        <v>330</v>
      </c>
      <c r="E22" s="69">
        <f>60*E21/(2*PI())</f>
        <v>9.1673247220931717</v>
      </c>
      <c r="F22" s="56" t="s">
        <v>100</v>
      </c>
      <c r="G22" s="1"/>
      <c r="H22" s="65"/>
      <c r="I22" s="62">
        <v>18</v>
      </c>
      <c r="J22" s="62" t="s">
        <v>21</v>
      </c>
      <c r="K22" s="62" t="s">
        <v>101</v>
      </c>
      <c r="L22" s="62" t="s">
        <v>102</v>
      </c>
      <c r="M22" s="72">
        <f>M21/M20</f>
        <v>6.0000000000000005E-2</v>
      </c>
      <c r="N22" s="62" t="s">
        <v>24</v>
      </c>
    </row>
    <row r="23" spans="1:14" ht="32.1" customHeight="1">
      <c r="A23" s="56">
        <v>19</v>
      </c>
      <c r="B23" s="56" t="s">
        <v>103</v>
      </c>
      <c r="C23" s="56" t="s">
        <v>104</v>
      </c>
      <c r="D23" s="56" t="s">
        <v>331</v>
      </c>
      <c r="E23" s="69">
        <f>E22*E13</f>
        <v>916.73247220931717</v>
      </c>
      <c r="F23" s="56" t="s">
        <v>100</v>
      </c>
      <c r="G23" s="1"/>
      <c r="H23" s="65"/>
      <c r="I23" s="62">
        <v>19</v>
      </c>
      <c r="J23" s="62" t="s">
        <v>27</v>
      </c>
      <c r="K23" s="62" t="s">
        <v>106</v>
      </c>
      <c r="L23" s="62" t="s">
        <v>107</v>
      </c>
      <c r="M23" s="72">
        <f>(E7+E51)*(E14*E17+M22)</f>
        <v>448.88400000000007</v>
      </c>
      <c r="N23" s="62" t="s">
        <v>30</v>
      </c>
    </row>
    <row r="24" spans="1:14" ht="32.1" customHeight="1">
      <c r="A24" s="56">
        <v>20</v>
      </c>
      <c r="B24" s="56" t="s">
        <v>108</v>
      </c>
      <c r="C24" s="56" t="s">
        <v>109</v>
      </c>
      <c r="D24" s="56" t="s">
        <v>321</v>
      </c>
      <c r="E24" s="69">
        <f>E20*2*PI()*E23/60</f>
        <v>4595.5691999999999</v>
      </c>
      <c r="F24" s="56" t="s">
        <v>41</v>
      </c>
      <c r="G24" s="1"/>
      <c r="H24" s="65"/>
      <c r="I24" s="62">
        <v>20</v>
      </c>
      <c r="J24" s="62" t="s">
        <v>33</v>
      </c>
      <c r="K24" s="62" t="s">
        <v>110</v>
      </c>
      <c r="L24" s="62" t="s">
        <v>111</v>
      </c>
      <c r="M24" s="72">
        <f>M21/2</f>
        <v>6.0000000000000005E-2</v>
      </c>
      <c r="N24" s="62" t="s">
        <v>18</v>
      </c>
    </row>
    <row r="25" spans="1:14" ht="32.1" customHeight="1">
      <c r="A25" s="1"/>
      <c r="B25" s="1"/>
      <c r="C25" s="1"/>
      <c r="D25" s="1"/>
      <c r="E25" s="2"/>
      <c r="F25" s="1"/>
      <c r="G25" s="1"/>
      <c r="H25" s="65"/>
      <c r="I25" s="62">
        <v>21</v>
      </c>
      <c r="J25" s="62" t="s">
        <v>38</v>
      </c>
      <c r="K25" s="62" t="s">
        <v>112</v>
      </c>
      <c r="L25" s="62" t="s">
        <v>113</v>
      </c>
      <c r="M25" s="72">
        <f>M23*M24</f>
        <v>26.933040000000005</v>
      </c>
      <c r="N25" s="62" t="s">
        <v>41</v>
      </c>
    </row>
    <row r="26" spans="1:14" ht="32.1" customHeight="1">
      <c r="A26" s="1"/>
      <c r="D26" s="73" t="s">
        <v>334</v>
      </c>
      <c r="E26" s="74"/>
      <c r="F26" s="75"/>
      <c r="G26" s="1"/>
      <c r="H26" s="65"/>
      <c r="I26" s="62">
        <v>22</v>
      </c>
      <c r="J26" s="62" t="s">
        <v>45</v>
      </c>
      <c r="K26" s="62" t="s">
        <v>116</v>
      </c>
      <c r="L26" s="62"/>
      <c r="M26" s="72">
        <f>M11+(M5+M14-M20-M29)/2</f>
        <v>82.5</v>
      </c>
      <c r="N26" s="62" t="s">
        <v>12</v>
      </c>
    </row>
    <row r="27" spans="1:14" ht="32.1" customHeight="1">
      <c r="A27" s="1"/>
      <c r="C27" s="71"/>
      <c r="D27" s="76" t="s">
        <v>324</v>
      </c>
      <c r="E27" s="70">
        <f>MAX(E24,M38)</f>
        <v>4595.5691999999999</v>
      </c>
      <c r="F27" s="61" t="s">
        <v>41</v>
      </c>
      <c r="G27" s="1"/>
      <c r="H27" s="65"/>
      <c r="I27" s="62">
        <v>23</v>
      </c>
      <c r="J27" s="62" t="s">
        <v>49</v>
      </c>
      <c r="K27" s="62" t="s">
        <v>50</v>
      </c>
      <c r="L27" s="62" t="s">
        <v>118</v>
      </c>
      <c r="M27" s="72">
        <f>(E7+E51)*E14*E17</f>
        <v>435.56400000000008</v>
      </c>
      <c r="N27" s="62" t="s">
        <v>30</v>
      </c>
    </row>
    <row r="28" spans="1:14" ht="32.1" customHeight="1">
      <c r="A28" s="1"/>
      <c r="C28" s="71"/>
      <c r="D28" s="76" t="s">
        <v>325</v>
      </c>
      <c r="E28" s="70">
        <f>E23</f>
        <v>916.73247220931717</v>
      </c>
      <c r="F28" s="61" t="s">
        <v>100</v>
      </c>
      <c r="G28" s="1"/>
      <c r="H28" s="65"/>
      <c r="I28" s="62">
        <v>24</v>
      </c>
      <c r="J28" s="62" t="s">
        <v>54</v>
      </c>
      <c r="K28" s="62" t="s">
        <v>120</v>
      </c>
      <c r="L28" s="62" t="s">
        <v>121</v>
      </c>
      <c r="M28" s="72">
        <f>M27*M21</f>
        <v>52.267680000000013</v>
      </c>
      <c r="N28" s="62" t="s">
        <v>41</v>
      </c>
    </row>
    <row r="29" spans="1:14" ht="32.1" customHeight="1">
      <c r="A29" s="1"/>
      <c r="C29" s="71"/>
      <c r="D29" s="76" t="s">
        <v>119</v>
      </c>
      <c r="E29" s="70">
        <f>E20</f>
        <v>47.870512499999997</v>
      </c>
      <c r="F29" s="61" t="s">
        <v>85</v>
      </c>
      <c r="G29" s="1"/>
      <c r="H29" s="65"/>
      <c r="I29" s="62">
        <v>25</v>
      </c>
      <c r="J29" s="62" t="s">
        <v>59</v>
      </c>
      <c r="K29" s="62" t="s">
        <v>122</v>
      </c>
      <c r="L29" s="62"/>
      <c r="M29" s="72">
        <v>5</v>
      </c>
      <c r="N29" s="62" t="s">
        <v>12</v>
      </c>
    </row>
    <row r="30" spans="1:14" ht="32.1" customHeight="1">
      <c r="A30" s="1"/>
      <c r="B30" s="1"/>
      <c r="C30" s="1"/>
      <c r="D30" s="1"/>
      <c r="E30" s="2"/>
      <c r="F30" s="1"/>
      <c r="G30" s="1"/>
      <c r="H30" s="65"/>
      <c r="I30" s="62">
        <v>26</v>
      </c>
      <c r="J30" s="62" t="s">
        <v>63</v>
      </c>
      <c r="K30" s="62" t="s">
        <v>123</v>
      </c>
      <c r="L30" s="62" t="s">
        <v>124</v>
      </c>
      <c r="M30" s="72">
        <f>-M21/M29</f>
        <v>-2.4E-2</v>
      </c>
      <c r="N30" s="62" t="s">
        <v>24</v>
      </c>
    </row>
    <row r="31" spans="1:14" ht="70.5" customHeight="1">
      <c r="A31" s="68" t="s">
        <v>333</v>
      </c>
      <c r="B31" s="68"/>
      <c r="C31" s="68"/>
      <c r="D31" s="68"/>
      <c r="E31" s="68"/>
      <c r="F31" s="68"/>
      <c r="G31" s="1"/>
      <c r="H31" s="65"/>
      <c r="I31" s="62">
        <v>27</v>
      </c>
      <c r="J31" s="62" t="s">
        <v>68</v>
      </c>
      <c r="K31" s="62" t="s">
        <v>69</v>
      </c>
      <c r="L31" s="62" t="s">
        <v>126</v>
      </c>
      <c r="M31" s="72">
        <f>(E7+E51)*(E14*E17+M30)</f>
        <v>430.23600000000005</v>
      </c>
      <c r="N31" s="62" t="s">
        <v>30</v>
      </c>
    </row>
    <row r="32" spans="1:14" ht="32.1" customHeight="1">
      <c r="A32" s="50" t="s">
        <v>1</v>
      </c>
      <c r="B32" s="50" t="s">
        <v>2</v>
      </c>
      <c r="C32" s="50" t="s">
        <v>5</v>
      </c>
      <c r="D32" s="50" t="s">
        <v>6</v>
      </c>
      <c r="E32" s="67" t="s">
        <v>127</v>
      </c>
      <c r="F32" s="50"/>
      <c r="G32" s="1"/>
      <c r="H32" s="65"/>
      <c r="I32" s="62">
        <v>28</v>
      </c>
      <c r="J32" s="62" t="s">
        <v>73</v>
      </c>
      <c r="K32" s="62" t="s">
        <v>128</v>
      </c>
      <c r="L32" s="62" t="s">
        <v>129</v>
      </c>
      <c r="M32" s="72">
        <f>M21/2</f>
        <v>6.0000000000000005E-2</v>
      </c>
      <c r="N32" s="62" t="s">
        <v>18</v>
      </c>
    </row>
    <row r="33" spans="1:14" ht="32.1" customHeight="1">
      <c r="A33" s="62">
        <v>1</v>
      </c>
      <c r="B33" s="62" t="s">
        <v>132</v>
      </c>
      <c r="C33" s="62">
        <v>5.5</v>
      </c>
      <c r="D33" s="62" t="s">
        <v>133</v>
      </c>
      <c r="E33" s="63" t="s">
        <v>134</v>
      </c>
      <c r="F33" s="60"/>
      <c r="G33" s="1"/>
      <c r="H33" s="65"/>
      <c r="I33" s="62">
        <v>29</v>
      </c>
      <c r="J33" s="62" t="s">
        <v>79</v>
      </c>
      <c r="K33" s="62" t="s">
        <v>130</v>
      </c>
      <c r="L33" s="62" t="s">
        <v>131</v>
      </c>
      <c r="M33" s="72">
        <f>M31*M32</f>
        <v>25.814160000000005</v>
      </c>
      <c r="N33" s="62" t="s">
        <v>41</v>
      </c>
    </row>
    <row r="34" spans="1:14" ht="32.1" customHeight="1">
      <c r="A34" s="62">
        <v>2</v>
      </c>
      <c r="B34" s="62" t="s">
        <v>138</v>
      </c>
      <c r="C34" s="62">
        <v>400</v>
      </c>
      <c r="D34" s="62" t="s">
        <v>139</v>
      </c>
      <c r="E34" s="63" t="s">
        <v>140</v>
      </c>
      <c r="F34" s="60"/>
      <c r="G34" s="1"/>
      <c r="H34" s="65"/>
      <c r="I34" s="62">
        <v>30</v>
      </c>
      <c r="J34" s="62" t="s">
        <v>135</v>
      </c>
      <c r="K34" s="62" t="s">
        <v>136</v>
      </c>
      <c r="L34" s="62" t="s">
        <v>137</v>
      </c>
      <c r="M34" s="72">
        <f>Chu_ky!B25</f>
        <v>1924.6694715794124</v>
      </c>
      <c r="N34" s="62" t="s">
        <v>41</v>
      </c>
    </row>
    <row r="35" spans="1:14" ht="32.1" customHeight="1">
      <c r="A35" s="62">
        <v>3</v>
      </c>
      <c r="B35" s="62" t="s">
        <v>144</v>
      </c>
      <c r="C35" s="62">
        <v>973</v>
      </c>
      <c r="D35" s="62" t="s">
        <v>145</v>
      </c>
      <c r="E35" s="63" t="s">
        <v>146</v>
      </c>
      <c r="F35" s="60"/>
      <c r="G35" s="1"/>
      <c r="H35" s="65"/>
      <c r="I35" s="62">
        <v>31</v>
      </c>
      <c r="J35" s="62" t="s">
        <v>141</v>
      </c>
      <c r="K35" s="62" t="s">
        <v>142</v>
      </c>
      <c r="L35" s="62" t="s">
        <v>143</v>
      </c>
      <c r="M35" s="72">
        <f>2*E9*E13/E12</f>
        <v>96.000000000000014</v>
      </c>
      <c r="N35" s="62" t="s">
        <v>96</v>
      </c>
    </row>
    <row r="36" spans="1:14" ht="32.1" customHeight="1">
      <c r="A36" s="62">
        <v>4</v>
      </c>
      <c r="B36" s="62" t="s">
        <v>150</v>
      </c>
      <c r="C36" s="62">
        <v>89.5</v>
      </c>
      <c r="D36" s="62" t="s">
        <v>151</v>
      </c>
      <c r="E36" s="63" t="s">
        <v>62</v>
      </c>
      <c r="F36" s="60"/>
      <c r="G36" s="1"/>
      <c r="H36" s="65"/>
      <c r="I36" s="62">
        <v>31</v>
      </c>
      <c r="J36" s="62" t="s">
        <v>147</v>
      </c>
      <c r="K36" s="62" t="s">
        <v>148</v>
      </c>
      <c r="L36" s="62" t="s">
        <v>149</v>
      </c>
      <c r="M36" s="72">
        <f>Chu_ky!B26</f>
        <v>20.973820904570346</v>
      </c>
      <c r="N36" s="62" t="s">
        <v>85</v>
      </c>
    </row>
    <row r="37" spans="1:14" ht="32.1" customHeight="1">
      <c r="A37" s="64">
        <v>5</v>
      </c>
      <c r="B37" s="62" t="s">
        <v>155</v>
      </c>
      <c r="C37" s="62">
        <v>90.2</v>
      </c>
      <c r="D37" s="62" t="s">
        <v>151</v>
      </c>
      <c r="E37" s="63"/>
      <c r="F37" s="60"/>
      <c r="G37" s="1"/>
      <c r="H37" s="65"/>
      <c r="I37" s="62">
        <v>32</v>
      </c>
      <c r="J37" s="62" t="s">
        <v>152</v>
      </c>
      <c r="K37" s="62" t="s">
        <v>153</v>
      </c>
      <c r="L37" s="62" t="s">
        <v>154</v>
      </c>
      <c r="M37" s="72">
        <f>Chu_ky!B27</f>
        <v>35.041031250000003</v>
      </c>
      <c r="N37" s="62" t="s">
        <v>85</v>
      </c>
    </row>
    <row r="38" spans="1:14" ht="32.1" customHeight="1">
      <c r="A38" s="66"/>
      <c r="B38" s="62" t="s">
        <v>159</v>
      </c>
      <c r="C38" s="62">
        <v>89.6</v>
      </c>
      <c r="D38" s="62" t="s">
        <v>151</v>
      </c>
      <c r="E38" s="63"/>
      <c r="F38" s="60"/>
      <c r="G38" s="1"/>
      <c r="H38" s="66"/>
      <c r="I38" s="62">
        <v>33</v>
      </c>
      <c r="J38" s="62" t="s">
        <v>156</v>
      </c>
      <c r="K38" s="62" t="s">
        <v>157</v>
      </c>
      <c r="L38" s="62" t="s">
        <v>158</v>
      </c>
      <c r="M38" s="72">
        <f>E16*M34</f>
        <v>2309.6033658952947</v>
      </c>
      <c r="N38" s="62" t="s">
        <v>41</v>
      </c>
    </row>
    <row r="39" spans="1:14" ht="32.1" customHeight="1">
      <c r="A39" s="62">
        <v>6</v>
      </c>
      <c r="B39" s="62" t="s">
        <v>160</v>
      </c>
      <c r="C39" s="62">
        <v>0.74</v>
      </c>
      <c r="D39" s="62"/>
      <c r="E39" s="63" t="s">
        <v>161</v>
      </c>
      <c r="F39" s="60"/>
      <c r="G39" s="1"/>
      <c r="H39" s="1"/>
      <c r="I39" s="1"/>
      <c r="J39" s="1"/>
      <c r="K39" s="1"/>
      <c r="L39" s="1"/>
      <c r="M39" s="2"/>
      <c r="N39" s="1"/>
    </row>
    <row r="40" spans="1:14" ht="32.1" customHeight="1">
      <c r="A40" s="62">
        <v>7</v>
      </c>
      <c r="B40" s="62" t="s">
        <v>163</v>
      </c>
      <c r="C40" s="62">
        <v>12</v>
      </c>
      <c r="D40" s="62" t="s">
        <v>164</v>
      </c>
      <c r="E40" s="63" t="s">
        <v>165</v>
      </c>
      <c r="F40" s="60"/>
      <c r="G40" s="1"/>
      <c r="H40" s="1"/>
      <c r="I40" s="1"/>
      <c r="J40" s="1" t="s">
        <v>162</v>
      </c>
      <c r="K40" s="1"/>
      <c r="L40" s="1"/>
      <c r="M40" s="2">
        <f>SQRT((M10^2*M5+M13^2*M11+M18^2*M14+M25^2*M20+M28^2*M26+M33^2*M29)/(M5+M11+M14+M19+M20+M26+M29))/E15</f>
        <v>1912.1611325834531</v>
      </c>
      <c r="N40" s="1" t="s">
        <v>41</v>
      </c>
    </row>
    <row r="41" spans="1:14" ht="32.1" customHeight="1">
      <c r="A41" s="62">
        <v>8</v>
      </c>
      <c r="B41" s="62" t="s">
        <v>167</v>
      </c>
      <c r="C41" s="62">
        <f>C40*5.8</f>
        <v>69.599999999999994</v>
      </c>
      <c r="D41" s="62" t="s">
        <v>164</v>
      </c>
      <c r="E41" s="63" t="s">
        <v>168</v>
      </c>
      <c r="F41" s="60"/>
      <c r="G41" s="1"/>
      <c r="H41" s="1"/>
      <c r="I41" s="1"/>
      <c r="J41" s="1" t="s">
        <v>166</v>
      </c>
      <c r="K41" s="1"/>
      <c r="L41" s="1"/>
      <c r="M41" s="2">
        <f>E9*(M11+(M5+M14)/2)</f>
        <v>10.32</v>
      </c>
      <c r="N41" s="1" t="s">
        <v>20</v>
      </c>
    </row>
    <row r="42" spans="1:14" ht="32.1" customHeight="1">
      <c r="A42" s="62">
        <v>9</v>
      </c>
      <c r="B42" s="62" t="s">
        <v>170</v>
      </c>
      <c r="C42" s="62">
        <v>53.9</v>
      </c>
      <c r="D42" s="62" t="s">
        <v>85</v>
      </c>
      <c r="E42" s="63" t="s">
        <v>171</v>
      </c>
      <c r="F42" s="60"/>
      <c r="G42" s="1"/>
      <c r="H42" s="1"/>
      <c r="I42" s="1"/>
      <c r="J42" s="1" t="s">
        <v>169</v>
      </c>
      <c r="K42" s="1"/>
      <c r="L42" s="1"/>
      <c r="M42" s="2">
        <f>E9*(M26+(M20+M29)/2)</f>
        <v>10.32</v>
      </c>
      <c r="N42" s="1" t="s">
        <v>20</v>
      </c>
    </row>
    <row r="43" spans="1:14" ht="32.1" customHeight="1">
      <c r="A43" s="62">
        <v>10</v>
      </c>
      <c r="B43" s="62" t="s">
        <v>173</v>
      </c>
      <c r="C43" s="62">
        <f>C42*2</f>
        <v>107.8</v>
      </c>
      <c r="D43" s="62" t="s">
        <v>85</v>
      </c>
      <c r="E43" s="63" t="s">
        <v>174</v>
      </c>
      <c r="F43" s="60"/>
      <c r="G43" s="1"/>
      <c r="H43" s="1"/>
      <c r="I43" s="1"/>
      <c r="J43" s="1" t="s">
        <v>172</v>
      </c>
      <c r="K43" s="1"/>
      <c r="L43" s="1"/>
      <c r="M43" s="2">
        <f>E24/E15</f>
        <v>4787.0512500000004</v>
      </c>
      <c r="N43" s="1" t="s">
        <v>41</v>
      </c>
    </row>
    <row r="44" spans="1:14" ht="32.1" customHeight="1">
      <c r="A44" s="62">
        <v>11</v>
      </c>
      <c r="B44" s="62" t="s">
        <v>175</v>
      </c>
      <c r="C44" s="62">
        <f>C42*2.9</f>
        <v>156.31</v>
      </c>
      <c r="D44" s="62" t="s">
        <v>85</v>
      </c>
      <c r="E44" s="63" t="s">
        <v>176</v>
      </c>
      <c r="F44" s="60"/>
      <c r="G44" s="1"/>
      <c r="H44" s="1"/>
      <c r="I44" s="1"/>
      <c r="J44" s="1"/>
      <c r="K44" s="1"/>
      <c r="L44" s="1"/>
      <c r="M44" s="2"/>
      <c r="N44" s="1"/>
    </row>
    <row r="45" spans="1:14" ht="32.1" customHeight="1">
      <c r="A45" s="62">
        <v>12</v>
      </c>
      <c r="B45" s="62" t="s">
        <v>177</v>
      </c>
      <c r="C45" s="62">
        <v>50</v>
      </c>
      <c r="D45" s="62" t="s">
        <v>178</v>
      </c>
      <c r="E45" s="63"/>
      <c r="F45" s="60"/>
      <c r="G45" s="1"/>
      <c r="H45" s="1"/>
      <c r="I45" s="1"/>
      <c r="J45" s="1"/>
      <c r="K45" s="1"/>
      <c r="L45" s="1"/>
      <c r="M45" s="2"/>
      <c r="N45" s="1"/>
    </row>
    <row r="46" spans="1:14" ht="32.1" customHeight="1">
      <c r="A46" s="62">
        <v>13</v>
      </c>
      <c r="B46" s="62" t="s">
        <v>179</v>
      </c>
      <c r="C46" s="62">
        <v>3</v>
      </c>
      <c r="D46" s="62" t="s">
        <v>180</v>
      </c>
      <c r="E46" s="63"/>
      <c r="F46" s="60"/>
      <c r="G46" s="1"/>
      <c r="H46" s="1"/>
      <c r="I46" s="1"/>
      <c r="J46" s="1"/>
      <c r="K46" s="1"/>
      <c r="L46" s="1"/>
      <c r="M46" s="2"/>
      <c r="N46" s="1"/>
    </row>
    <row r="47" spans="1:14" ht="32.1" customHeight="1">
      <c r="A47" s="62">
        <v>14</v>
      </c>
      <c r="B47" s="62" t="s">
        <v>181</v>
      </c>
      <c r="C47" s="62">
        <v>3.9E-2</v>
      </c>
      <c r="D47" s="62" t="s">
        <v>182</v>
      </c>
      <c r="E47" s="63" t="s">
        <v>183</v>
      </c>
      <c r="F47" s="60"/>
      <c r="G47" s="1"/>
      <c r="H47" s="1"/>
      <c r="I47" s="1"/>
      <c r="J47" s="1"/>
      <c r="K47" s="1"/>
      <c r="L47" s="1"/>
      <c r="M47" s="2"/>
      <c r="N47" s="1"/>
    </row>
    <row r="48" spans="1:14" ht="32.1" customHeight="1">
      <c r="A48" s="62">
        <v>15</v>
      </c>
      <c r="B48" s="62" t="s">
        <v>184</v>
      </c>
      <c r="C48" s="62">
        <v>63</v>
      </c>
      <c r="D48" s="62" t="s">
        <v>15</v>
      </c>
      <c r="E48" s="63"/>
      <c r="F48" s="60"/>
      <c r="G48" s="1"/>
      <c r="H48" s="1"/>
      <c r="I48" s="1"/>
      <c r="J48" s="1"/>
      <c r="K48" s="1"/>
      <c r="L48" s="1"/>
      <c r="M48" s="2"/>
      <c r="N48" s="1"/>
    </row>
    <row r="49" spans="1:14" ht="32.1" customHeight="1">
      <c r="G49" s="1"/>
      <c r="H49" s="1"/>
      <c r="I49" s="1"/>
      <c r="J49" s="1"/>
      <c r="K49" s="1"/>
      <c r="L49" s="1"/>
      <c r="M49" s="2"/>
      <c r="N49" s="1"/>
    </row>
    <row r="50" spans="1:14" ht="32.1" customHeight="1">
      <c r="A50" s="60"/>
      <c r="B50" s="60"/>
      <c r="C50" s="60"/>
      <c r="D50" s="60"/>
      <c r="E50" s="61"/>
      <c r="F50" s="60"/>
      <c r="G50" s="1"/>
      <c r="H50" s="1"/>
      <c r="I50" s="1"/>
      <c r="J50" s="1"/>
      <c r="K50" s="1"/>
      <c r="L50" s="1"/>
      <c r="M50" s="2"/>
      <c r="N50" s="1"/>
    </row>
    <row r="51" spans="1:14" ht="32.1" customHeight="1">
      <c r="A51" s="60"/>
      <c r="B51" s="60" t="s">
        <v>185</v>
      </c>
      <c r="C51" s="60"/>
      <c r="D51" s="60"/>
      <c r="E51" s="51">
        <v>0</v>
      </c>
      <c r="F51" s="60" t="s">
        <v>15</v>
      </c>
      <c r="G51" s="1"/>
      <c r="H51" s="1"/>
      <c r="I51" s="1"/>
      <c r="J51" s="1"/>
      <c r="K51" s="1"/>
      <c r="L51" s="1"/>
      <c r="M51" s="2"/>
      <c r="N51" s="1"/>
    </row>
    <row r="52" spans="1:14" ht="32.1" customHeight="1">
      <c r="A52" s="60"/>
      <c r="B52" s="60" t="s">
        <v>186</v>
      </c>
      <c r="C52" s="60"/>
      <c r="D52" s="60"/>
      <c r="E52" s="51">
        <v>0</v>
      </c>
      <c r="F52" s="60" t="s">
        <v>187</v>
      </c>
      <c r="G52" s="1"/>
      <c r="H52" s="1"/>
      <c r="I52" s="1"/>
      <c r="J52" s="1"/>
      <c r="K52" s="1"/>
      <c r="L52" s="1"/>
      <c r="M52" s="2"/>
      <c r="N52" s="1"/>
    </row>
    <row r="53" spans="1:14" ht="32.1" customHeight="1">
      <c r="A53" s="60"/>
      <c r="B53" s="60" t="s">
        <v>188</v>
      </c>
      <c r="C53" s="60"/>
      <c r="D53" s="60"/>
      <c r="E53" s="51">
        <v>0</v>
      </c>
      <c r="F53" s="60" t="s">
        <v>187</v>
      </c>
      <c r="G53" s="1"/>
      <c r="H53" s="1"/>
      <c r="I53" s="1"/>
      <c r="J53" s="1"/>
      <c r="K53" s="1"/>
      <c r="L53" s="1"/>
      <c r="M53" s="2"/>
      <c r="N53" s="1"/>
    </row>
    <row r="54" spans="1:14" ht="32.1" customHeight="1">
      <c r="A54" s="60"/>
      <c r="B54" s="60" t="s">
        <v>189</v>
      </c>
      <c r="C54" s="60"/>
      <c r="D54" s="60"/>
      <c r="E54" s="61">
        <f>(E6+E7+E51)*(E12/(2*E13))^2</f>
        <v>1.9443749999999999E-2</v>
      </c>
      <c r="F54" s="60" t="s">
        <v>187</v>
      </c>
      <c r="G54" s="1"/>
      <c r="H54" s="1"/>
      <c r="I54" s="1"/>
      <c r="J54" s="1"/>
      <c r="K54" s="1"/>
      <c r="L54" s="1"/>
      <c r="M54" s="2"/>
      <c r="N54" s="1"/>
    </row>
    <row r="55" spans="1:14" ht="32.1" customHeight="1">
      <c r="A55" s="60"/>
      <c r="B55" s="60" t="s">
        <v>190</v>
      </c>
      <c r="C55" s="60"/>
      <c r="D55" s="60"/>
      <c r="E55" s="61">
        <f>C47+E52+E53/E13^2+E54/E15</f>
        <v>5.9253906250000002E-2</v>
      </c>
      <c r="F55" s="60" t="s">
        <v>187</v>
      </c>
      <c r="G55" s="1"/>
      <c r="H55" s="1"/>
      <c r="I55" s="1"/>
      <c r="J55" s="1"/>
      <c r="K55" s="1"/>
      <c r="L55" s="1"/>
      <c r="M55" s="2"/>
      <c r="N55" s="1"/>
    </row>
    <row r="56" spans="1:14" ht="32.1" customHeight="1">
      <c r="A56" s="60"/>
      <c r="B56" s="60" t="s">
        <v>191</v>
      </c>
      <c r="C56" s="60"/>
      <c r="D56" s="60"/>
      <c r="E56" s="61">
        <f>E16*Chu_ky!B27</f>
        <v>42.049237500000004</v>
      </c>
      <c r="F56" s="60" t="s">
        <v>192</v>
      </c>
      <c r="G56" s="1"/>
      <c r="H56" s="1"/>
      <c r="I56" s="1"/>
      <c r="J56" s="1"/>
      <c r="K56" s="1"/>
      <c r="L56" s="1"/>
      <c r="M56" s="2"/>
      <c r="N56" s="1"/>
    </row>
    <row r="57" spans="1:14" ht="32.1" customHeight="1">
      <c r="A57" s="60"/>
      <c r="B57" s="60" t="s">
        <v>193</v>
      </c>
      <c r="C57" s="60"/>
      <c r="D57" s="60"/>
      <c r="E57" s="61">
        <f>E16*(E18*E12/(2*E15*E13)+(C47+E52+E53/E13^2)*2*E13/E12*E10)</f>
        <v>66.590512500000003</v>
      </c>
      <c r="F57" s="60" t="s">
        <v>192</v>
      </c>
      <c r="G57" s="1"/>
      <c r="H57" s="1"/>
      <c r="I57" s="1"/>
      <c r="J57" s="1"/>
      <c r="K57" s="1"/>
      <c r="L57" s="1"/>
      <c r="M57" s="2"/>
      <c r="N57" s="1"/>
    </row>
    <row r="58" spans="1:14" ht="32.1" customHeight="1">
      <c r="A58" s="60"/>
      <c r="B58" s="60" t="s">
        <v>194</v>
      </c>
      <c r="C58" s="60"/>
      <c r="D58" s="60"/>
      <c r="E58" s="51">
        <v>0.25</v>
      </c>
      <c r="F58" s="60" t="s">
        <v>12</v>
      </c>
      <c r="G58" s="1"/>
      <c r="H58" s="1"/>
      <c r="I58" s="1"/>
      <c r="J58" s="1"/>
      <c r="K58" s="1"/>
      <c r="L58" s="1"/>
      <c r="M58" s="2"/>
      <c r="N58" s="1"/>
    </row>
    <row r="59" spans="1:14" ht="32.1" customHeight="1">
      <c r="A59" s="60"/>
      <c r="B59" s="60" t="s">
        <v>195</v>
      </c>
      <c r="C59" s="60"/>
      <c r="D59" s="60"/>
      <c r="E59" s="61">
        <f>E57/C42</f>
        <v>1.2354455009276439</v>
      </c>
      <c r="F59" s="60"/>
      <c r="G59" s="1"/>
      <c r="H59" s="1"/>
      <c r="I59" s="1"/>
      <c r="J59" s="1"/>
      <c r="K59" s="1"/>
      <c r="L59" s="1"/>
      <c r="M59" s="2"/>
      <c r="N59" s="1"/>
    </row>
    <row r="60" spans="1:14" ht="32.1" customHeight="1">
      <c r="A60" s="60"/>
      <c r="B60" s="60" t="s">
        <v>196</v>
      </c>
      <c r="C60" s="60"/>
      <c r="D60" s="60"/>
      <c r="E60" s="61">
        <f>Chu_ky!B22</f>
        <v>211.5</v>
      </c>
      <c r="F60" s="60" t="s">
        <v>12</v>
      </c>
      <c r="G60" s="1"/>
      <c r="H60" s="1"/>
      <c r="I60" s="1"/>
      <c r="J60" s="1"/>
      <c r="K60" s="1"/>
      <c r="L60" s="1"/>
      <c r="M60" s="2"/>
      <c r="N60" s="1"/>
    </row>
    <row r="61" spans="1:14" ht="32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32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42.95" customHeight="1">
      <c r="A63" s="1"/>
      <c r="B63" s="8" t="s">
        <v>197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42.95" customHeight="1">
      <c r="A64" s="1"/>
      <c r="B64" s="8" t="s">
        <v>198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4" ht="42.95" customHeight="1">
      <c r="A65" s="1"/>
      <c r="B65" s="8" t="s">
        <v>199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ht="42.95" customHeight="1">
      <c r="A66" s="1"/>
      <c r="B66" s="8" t="s">
        <v>200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4" ht="42.95" customHeight="1">
      <c r="A67" s="1"/>
      <c r="B67" s="8" t="s">
        <v>201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ht="42.95" customHeight="1">
      <c r="A68" s="1"/>
      <c r="B68" s="8" t="s">
        <v>202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4" ht="42.95" customHeight="1">
      <c r="A69" s="1"/>
      <c r="B69" s="8" t="s">
        <v>203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</sheetData>
  <mergeCells count="13">
    <mergeCell ref="A1:F3"/>
    <mergeCell ref="D26:F26"/>
    <mergeCell ref="B68:N68"/>
    <mergeCell ref="B69:N69"/>
    <mergeCell ref="H5:H19"/>
    <mergeCell ref="H20:H38"/>
    <mergeCell ref="A31:F31"/>
    <mergeCell ref="A37:A38"/>
    <mergeCell ref="B63:N63"/>
    <mergeCell ref="B64:N64"/>
    <mergeCell ref="B65:N65"/>
    <mergeCell ref="B66:N66"/>
    <mergeCell ref="B67:N67"/>
  </mergeCells>
  <dataValidations count="1">
    <dataValidation type="whole" sqref="E5" xr:uid="{00000000-0002-0000-0000-000000000000}">
      <formula1>0</formula1>
      <formula2>9</formula2>
    </dataValidation>
  </dataValidations>
  <pageMargins left="0.70866141732283472" right="0.70866141732283472" top="0.74803149606299213" bottom="0.74803149606299213" header="0.31496062992125984" footer="0.31496062992125984"/>
  <pageSetup paperSize="9" scale="2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"/>
  <sheetViews>
    <sheetView showGridLines="0" workbookViewId="0">
      <pane ySplit="4" topLeftCell="A5" activePane="bottomLeft" state="frozen"/>
      <selection pane="bottomLeft" sqref="A1:N1"/>
    </sheetView>
  </sheetViews>
  <sheetFormatPr defaultRowHeight="14.25"/>
  <cols>
    <col min="1" max="1" width="32" customWidth="1"/>
    <col min="2" max="2" width="27" customWidth="1"/>
    <col min="3" max="14" width="15" customWidth="1"/>
  </cols>
  <sheetData>
    <row r="1" spans="1:14" ht="32.1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2.1" customHeight="1">
      <c r="A2" s="8" t="s">
        <v>205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32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2.1" customHeight="1">
      <c r="A4" s="3" t="s">
        <v>206</v>
      </c>
      <c r="B4" s="3" t="s">
        <v>207</v>
      </c>
      <c r="C4" s="3" t="s">
        <v>208</v>
      </c>
      <c r="D4" s="3" t="s">
        <v>209</v>
      </c>
      <c r="E4" s="3" t="s">
        <v>210</v>
      </c>
      <c r="F4" s="3" t="s">
        <v>211</v>
      </c>
      <c r="G4" s="3" t="s">
        <v>212</v>
      </c>
      <c r="H4" s="3" t="s">
        <v>213</v>
      </c>
      <c r="I4" s="3" t="s">
        <v>214</v>
      </c>
      <c r="J4" s="3" t="s">
        <v>215</v>
      </c>
      <c r="K4" s="3" t="s">
        <v>216</v>
      </c>
      <c r="L4" s="3" t="s">
        <v>217</v>
      </c>
      <c r="M4" s="3" t="s">
        <v>218</v>
      </c>
      <c r="N4" s="3" t="s">
        <v>219</v>
      </c>
    </row>
    <row r="5" spans="1:14" ht="32.1" customHeight="1">
      <c r="A5" s="1" t="s">
        <v>220</v>
      </c>
      <c r="B5" s="2">
        <f>Tinh_toan_x2!E58</f>
        <v>0.25</v>
      </c>
      <c r="C5" s="2">
        <f>Tinh_toan_x2!E7+Tinh_toan_x2!E51+Tinh_toan_x2!E6</f>
        <v>12444</v>
      </c>
      <c r="D5" s="2">
        <v>1</v>
      </c>
      <c r="E5" s="2">
        <f>Tinh_toan_x2!E9/(Tinh_toan_x2!M5-Tinh_toan_x2!E58)/Tinh_toan_x2!E58</f>
        <v>0.2742857142857143</v>
      </c>
      <c r="F5" s="2">
        <v>0</v>
      </c>
      <c r="G5" s="2">
        <v>0</v>
      </c>
      <c r="H5" s="2">
        <v>0</v>
      </c>
      <c r="I5" s="2">
        <f t="shared" ref="I5:I19" si="0">F5+E5*B5</f>
        <v>6.8571428571428575E-2</v>
      </c>
      <c r="J5" s="2">
        <f t="shared" ref="J5:J19" si="1">G5+F5*B5+0.5*E5*B5^2</f>
        <v>8.5714285714285719E-3</v>
      </c>
      <c r="K5" s="2">
        <f t="shared" ref="K5:K19" si="2">G5*B5+0.5*F5*B5^2+E5*B5^3/6</f>
        <v>7.1428571428571429E-4</v>
      </c>
      <c r="L5" s="2">
        <f>SUM(J36:J39)</f>
        <v>2798.6783090979211</v>
      </c>
      <c r="M5" s="2">
        <f>SUM(K36:K39)</f>
        <v>279.37372893383792</v>
      </c>
      <c r="N5" s="2">
        <f>MAX(ABS(D5*(C5*(Tinh_toan_x2!E14*Tinh_toan_x2!E17+F5)*Tinh_toan_x2!E12/(2*Tinh_toan_x2!E15*Tinh_toan_x2!E13)+(Tinh_toan_x2!C47+Tinh_toan_x2!E52+Tinh_toan_x2!E53/Tinh_toan_x2!E13^2)*2*Tinh_toan_x2!E13/Tinh_toan_x2!E12*F5)),ABS(D5*(C5*(Tinh_toan_x2!E14*Tinh_toan_x2!E17+I5)*Tinh_toan_x2!E12/(2*Tinh_toan_x2!E15*Tinh_toan_x2!E13)+(Tinh_toan_x2!C47+Tinh_toan_x2!E52+Tinh_toan_x2!E53/Tinh_toan_x2!E13^2)*2*Tinh_toan_x2!E13/Tinh_toan_x2!E12*I5)))</f>
        <v>35.041031250000003</v>
      </c>
    </row>
    <row r="6" spans="1:14" ht="32.1" customHeight="1">
      <c r="A6" s="1" t="s">
        <v>221</v>
      </c>
      <c r="B6" s="2">
        <f>Tinh_toan_x2!M5-2*Tinh_toan_x2!E58</f>
        <v>1.5</v>
      </c>
      <c r="C6" s="2">
        <f>Tinh_toan_x2!E7+Tinh_toan_x2!E51+Tinh_toan_x2!E6</f>
        <v>12444</v>
      </c>
      <c r="D6" s="2">
        <v>1</v>
      </c>
      <c r="E6" s="2">
        <f>0</f>
        <v>0</v>
      </c>
      <c r="F6" s="2">
        <f t="shared" ref="F6:G11" si="3">I5</f>
        <v>6.8571428571428575E-2</v>
      </c>
      <c r="G6" s="2">
        <f t="shared" si="3"/>
        <v>8.5714285714285719E-3</v>
      </c>
      <c r="H6" s="2">
        <f t="shared" ref="H6:H19" si="4">H5+B5</f>
        <v>0.25</v>
      </c>
      <c r="I6" s="2">
        <f t="shared" si="0"/>
        <v>6.8571428571428575E-2</v>
      </c>
      <c r="J6" s="2">
        <f t="shared" si="1"/>
        <v>0.11142857142857145</v>
      </c>
      <c r="K6" s="2">
        <f t="shared" si="2"/>
        <v>9.0000000000000011E-2</v>
      </c>
      <c r="L6" s="2">
        <f>SUM(J40:J43)</f>
        <v>5282764.4490228137</v>
      </c>
      <c r="M6" s="2">
        <f>SUM(K40:K43)</f>
        <v>1841.8108065952156</v>
      </c>
      <c r="N6" s="2">
        <f>MAX(ABS(D6*(C6*(Tinh_toan_x2!E14*Tinh_toan_x2!E17+F6)*Tinh_toan_x2!E12/(2*Tinh_toan_x2!E15*Tinh_toan_x2!E13)+(Tinh_toan_x2!C47+Tinh_toan_x2!E52+Tinh_toan_x2!E53/Tinh_toan_x2!E13^2)*2*Tinh_toan_x2!E13/Tinh_toan_x2!E12*F6)),ABS(D6*(C6*(Tinh_toan_x2!E14*Tinh_toan_x2!E17+I6)*Tinh_toan_x2!E12/(2*Tinh_toan_x2!E15*Tinh_toan_x2!E13)+(Tinh_toan_x2!C47+Tinh_toan_x2!E52+Tinh_toan_x2!E53/Tinh_toan_x2!E13^2)*2*Tinh_toan_x2!E13/Tinh_toan_x2!E12*I6)))</f>
        <v>35.041031250000003</v>
      </c>
    </row>
    <row r="7" spans="1:14" ht="32.1" customHeight="1">
      <c r="A7" s="1" t="s">
        <v>222</v>
      </c>
      <c r="B7" s="2">
        <f>Tinh_toan_x2!E58</f>
        <v>0.25</v>
      </c>
      <c r="C7" s="2">
        <f>Tinh_toan_x2!E7+Tinh_toan_x2!E51+Tinh_toan_x2!E6</f>
        <v>12444</v>
      </c>
      <c r="D7" s="2">
        <v>1</v>
      </c>
      <c r="E7" s="2">
        <f>-Tinh_toan_x2!E9/(Tinh_toan_x2!M5-Tinh_toan_x2!E58)/Tinh_toan_x2!E58</f>
        <v>-0.2742857142857143</v>
      </c>
      <c r="F7" s="2">
        <f t="shared" si="3"/>
        <v>6.8571428571428575E-2</v>
      </c>
      <c r="G7" s="2">
        <f t="shared" si="3"/>
        <v>0.11142857142857145</v>
      </c>
      <c r="H7" s="2">
        <f t="shared" si="4"/>
        <v>1.75</v>
      </c>
      <c r="I7" s="2">
        <f t="shared" si="0"/>
        <v>0</v>
      </c>
      <c r="J7" s="2">
        <f t="shared" si="1"/>
        <v>0.12000000000000001</v>
      </c>
      <c r="K7" s="2">
        <f t="shared" si="2"/>
        <v>2.928571428571429E-2</v>
      </c>
      <c r="L7" s="2">
        <f>SUM(J44:J47)</f>
        <v>2448924.014489356</v>
      </c>
      <c r="M7" s="2">
        <f>SUM(K44:K47)</f>
        <v>279.37372893383792</v>
      </c>
      <c r="N7" s="2">
        <f>MAX(ABS(D7*(C7*(Tinh_toan_x2!E14*Tinh_toan_x2!E17+F7)*Tinh_toan_x2!E12/(2*Tinh_toan_x2!E15*Tinh_toan_x2!E13)+(Tinh_toan_x2!C47+Tinh_toan_x2!E52+Tinh_toan_x2!E53/Tinh_toan_x2!E13^2)*2*Tinh_toan_x2!E13/Tinh_toan_x2!E12*F7)),ABS(D7*(C7*(Tinh_toan_x2!E14*Tinh_toan_x2!E17+I7)*Tinh_toan_x2!E12/(2*Tinh_toan_x2!E15*Tinh_toan_x2!E13)+(Tinh_toan_x2!C47+Tinh_toan_x2!E52+Tinh_toan_x2!E53/Tinh_toan_x2!E13^2)*2*Tinh_toan_x2!E13/Tinh_toan_x2!E12*I7)))</f>
        <v>35.041031250000003</v>
      </c>
    </row>
    <row r="8" spans="1:14" ht="32.1" customHeight="1">
      <c r="A8" s="1" t="s">
        <v>223</v>
      </c>
      <c r="B8" s="2">
        <f>Tinh_toan_x2!M11</f>
        <v>80</v>
      </c>
      <c r="C8" s="2">
        <f>Tinh_toan_x2!E7+Tinh_toan_x2!E51+Tinh_toan_x2!E6</f>
        <v>12444</v>
      </c>
      <c r="D8" s="2">
        <v>1</v>
      </c>
      <c r="E8" s="2">
        <f>0</f>
        <v>0</v>
      </c>
      <c r="F8" s="2">
        <f t="shared" si="3"/>
        <v>0</v>
      </c>
      <c r="G8" s="2">
        <f t="shared" si="3"/>
        <v>0.12000000000000001</v>
      </c>
      <c r="H8" s="2">
        <f t="shared" si="4"/>
        <v>2</v>
      </c>
      <c r="I8" s="2">
        <f t="shared" si="0"/>
        <v>0</v>
      </c>
      <c r="J8" s="2">
        <f t="shared" si="1"/>
        <v>0.12000000000000001</v>
      </c>
      <c r="K8" s="2">
        <f t="shared" si="2"/>
        <v>9.6000000000000014</v>
      </c>
      <c r="L8" s="2">
        <f>SUM(J48:J51)</f>
        <v>745123094.07047999</v>
      </c>
      <c r="M8" s="2">
        <f>SUM(K48:K51)</f>
        <v>80851.030172578132</v>
      </c>
      <c r="N8" s="2">
        <f>MAX(ABS(D8*(C8*(Tinh_toan_x2!E14*Tinh_toan_x2!E17+F8)*Tinh_toan_x2!E12/(2*Tinh_toan_x2!E15*Tinh_toan_x2!E13)+(Tinh_toan_x2!C47+Tinh_toan_x2!E52+Tinh_toan_x2!E53/Tinh_toan_x2!E13^2)*2*Tinh_toan_x2!E13/Tinh_toan_x2!E12*F8)),ABS(D8*(C8*(Tinh_toan_x2!E14*Tinh_toan_x2!E17+I8)*Tinh_toan_x2!E12/(2*Tinh_toan_x2!E15*Tinh_toan_x2!E13)+(Tinh_toan_x2!C47+Tinh_toan_x2!E52+Tinh_toan_x2!E53/Tinh_toan_x2!E13^2)*2*Tinh_toan_x2!E13/Tinh_toan_x2!E12*I8)))</f>
        <v>31.790531250000001</v>
      </c>
    </row>
    <row r="9" spans="1:14" ht="32.1" customHeight="1">
      <c r="A9" s="1" t="s">
        <v>224</v>
      </c>
      <c r="B9" s="2">
        <f>Tinh_toan_x2!E58</f>
        <v>0.25</v>
      </c>
      <c r="C9" s="2">
        <f>Tinh_toan_x2!E7+Tinh_toan_x2!E51+Tinh_toan_x2!E6</f>
        <v>12444</v>
      </c>
      <c r="D9" s="2">
        <v>1</v>
      </c>
      <c r="E9" s="2">
        <f>-Tinh_toan_x2!E9/(Tinh_toan_x2!M14-Tinh_toan_x2!E58)/Tinh_toan_x2!E58</f>
        <v>-4.9230769230769238E-2</v>
      </c>
      <c r="F9" s="2">
        <f t="shared" si="3"/>
        <v>0</v>
      </c>
      <c r="G9" s="2">
        <f t="shared" si="3"/>
        <v>0.12000000000000001</v>
      </c>
      <c r="H9" s="2">
        <f t="shared" si="4"/>
        <v>82</v>
      </c>
      <c r="I9" s="2">
        <f t="shared" si="0"/>
        <v>-1.2307692307692309E-2</v>
      </c>
      <c r="J9" s="2">
        <f t="shared" si="1"/>
        <v>0.11846153846153847</v>
      </c>
      <c r="K9" s="2">
        <f t="shared" si="2"/>
        <v>2.9871794871794873E-2</v>
      </c>
      <c r="L9" s="2">
        <f>SUM(J52:J55)</f>
        <v>2266754.3036930291</v>
      </c>
      <c r="M9" s="2">
        <f>SUM(K52:K55)</f>
        <v>248.051002106807</v>
      </c>
      <c r="N9" s="2">
        <f>MAX(ABS(D9*(C9*(Tinh_toan_x2!E14*Tinh_toan_x2!E17+F9)*Tinh_toan_x2!E12/(2*Tinh_toan_x2!E15*Tinh_toan_x2!E13)+(Tinh_toan_x2!C47+Tinh_toan_x2!E52+Tinh_toan_x2!E53/Tinh_toan_x2!E13^2)*2*Tinh_toan_x2!E13/Tinh_toan_x2!E12*F9)),ABS(D9*(C9*(Tinh_toan_x2!E14*Tinh_toan_x2!E17+I9)*Tinh_toan_x2!E12/(2*Tinh_toan_x2!E15*Tinh_toan_x2!E13)+(Tinh_toan_x2!C47+Tinh_toan_x2!E52+Tinh_toan_x2!E53/Tinh_toan_x2!E13^2)*2*Tinh_toan_x2!E13/Tinh_toan_x2!E12*I9)))</f>
        <v>31.790531250000001</v>
      </c>
    </row>
    <row r="10" spans="1:14" ht="32.1" customHeight="1">
      <c r="A10" s="1" t="s">
        <v>225</v>
      </c>
      <c r="B10" s="2">
        <f>Tinh_toan_x2!M14-2*Tinh_toan_x2!E58</f>
        <v>9.5</v>
      </c>
      <c r="C10" s="2">
        <f>Tinh_toan_x2!E7+Tinh_toan_x2!E51+Tinh_toan_x2!E6</f>
        <v>12444</v>
      </c>
      <c r="D10" s="2">
        <v>1</v>
      </c>
      <c r="E10" s="2">
        <f>0</f>
        <v>0</v>
      </c>
      <c r="F10" s="2">
        <f t="shared" si="3"/>
        <v>-1.2307692307692309E-2</v>
      </c>
      <c r="G10" s="2">
        <f t="shared" si="3"/>
        <v>0.11846153846153847</v>
      </c>
      <c r="H10" s="2">
        <f t="shared" si="4"/>
        <v>82.25</v>
      </c>
      <c r="I10" s="2">
        <f t="shared" si="0"/>
        <v>-1.2307692307692309E-2</v>
      </c>
      <c r="J10" s="2">
        <f t="shared" si="1"/>
        <v>1.5384615384615302E-3</v>
      </c>
      <c r="K10" s="2">
        <f t="shared" si="2"/>
        <v>0.56999999999999995</v>
      </c>
      <c r="L10" s="2">
        <f>SUM(J56:J59)</f>
        <v>28062108.270794004</v>
      </c>
      <c r="M10" s="2">
        <f>SUM(K56:K59)</f>
        <v>9251.8942049981815</v>
      </c>
      <c r="N10" s="2">
        <f>MAX(ABS(D10*(C10*(Tinh_toan_x2!E14*Tinh_toan_x2!E17+F10)*Tinh_toan_x2!E12/(2*Tinh_toan_x2!E15*Tinh_toan_x2!E13)+(Tinh_toan_x2!C47+Tinh_toan_x2!E52+Tinh_toan_x2!E53/Tinh_toan_x2!E13^2)*2*Tinh_toan_x2!E13/Tinh_toan_x2!E12*F10)),ABS(D10*(C10*(Tinh_toan_x2!E14*Tinh_toan_x2!E17+I10)*Tinh_toan_x2!E12/(2*Tinh_toan_x2!E15*Tinh_toan_x2!E13)+(Tinh_toan_x2!C47+Tinh_toan_x2!E52+Tinh_toan_x2!E53/Tinh_toan_x2!E13^2)*2*Tinh_toan_x2!E13/Tinh_toan_x2!E12*I10)))</f>
        <v>31.207108173076922</v>
      </c>
    </row>
    <row r="11" spans="1:14" ht="32.1" customHeight="1">
      <c r="A11" s="1" t="s">
        <v>226</v>
      </c>
      <c r="B11" s="2">
        <f>Tinh_toan_x2!E58</f>
        <v>0.25</v>
      </c>
      <c r="C11" s="2">
        <f>Tinh_toan_x2!E7+Tinh_toan_x2!E51+Tinh_toan_x2!E6</f>
        <v>12444</v>
      </c>
      <c r="D11" s="2">
        <v>1</v>
      </c>
      <c r="E11" s="2">
        <f>Tinh_toan_x2!E9/(Tinh_toan_x2!M14-Tinh_toan_x2!E58)/Tinh_toan_x2!E58</f>
        <v>4.9230769230769238E-2</v>
      </c>
      <c r="F11" s="2">
        <f t="shared" si="3"/>
        <v>-1.2307692307692309E-2</v>
      </c>
      <c r="G11" s="2">
        <f t="shared" si="3"/>
        <v>1.5384615384615302E-3</v>
      </c>
      <c r="H11" s="2">
        <f t="shared" si="4"/>
        <v>91.75</v>
      </c>
      <c r="I11" s="2">
        <f t="shared" si="0"/>
        <v>0</v>
      </c>
      <c r="J11" s="2">
        <f t="shared" si="1"/>
        <v>-8.4567769453869346E-18</v>
      </c>
      <c r="K11" s="2">
        <f t="shared" si="2"/>
        <v>1.2820512820512612E-4</v>
      </c>
      <c r="L11" s="2">
        <f>SUM(J60:J63)</f>
        <v>74.222488355851524</v>
      </c>
      <c r="M11" s="2">
        <f>SUM(K60:K63)</f>
        <v>248.051002106807</v>
      </c>
      <c r="N11" s="2">
        <f>MAX(ABS(D11*(C11*(Tinh_toan_x2!E14*Tinh_toan_x2!E17+F11)*Tinh_toan_x2!E12/(2*Tinh_toan_x2!E15*Tinh_toan_x2!E13)+(Tinh_toan_x2!C47+Tinh_toan_x2!E52+Tinh_toan_x2!E53/Tinh_toan_x2!E13^2)*2*Tinh_toan_x2!E13/Tinh_toan_x2!E12*F11)),ABS(D11*(C11*(Tinh_toan_x2!E14*Tinh_toan_x2!E17+I11)*Tinh_toan_x2!E12/(2*Tinh_toan_x2!E15*Tinh_toan_x2!E13)+(Tinh_toan_x2!C47+Tinh_toan_x2!E52+Tinh_toan_x2!E53/Tinh_toan_x2!E13^2)*2*Tinh_toan_x2!E13/Tinh_toan_x2!E12*I11)))</f>
        <v>31.790531250000001</v>
      </c>
    </row>
    <row r="12" spans="1:14" ht="32.1" customHeight="1">
      <c r="A12" s="1" t="s">
        <v>227</v>
      </c>
      <c r="B12" s="2">
        <f>Tinh_toan_x2!M19</f>
        <v>30</v>
      </c>
      <c r="C12" s="2">
        <f>Tinh_toan_x2!E7+Tinh_toan_x2!E51</f>
        <v>222</v>
      </c>
      <c r="D12" s="2">
        <v>0</v>
      </c>
      <c r="E12" s="2">
        <f>0</f>
        <v>0</v>
      </c>
      <c r="F12" s="2">
        <v>0</v>
      </c>
      <c r="G12" s="2">
        <v>0</v>
      </c>
      <c r="H12" s="2">
        <f t="shared" si="4"/>
        <v>92</v>
      </c>
      <c r="I12" s="2">
        <f t="shared" si="0"/>
        <v>0</v>
      </c>
      <c r="J12" s="2">
        <f t="shared" si="1"/>
        <v>0</v>
      </c>
      <c r="K12" s="2">
        <f t="shared" si="2"/>
        <v>0</v>
      </c>
      <c r="L12" s="2">
        <f>SUM(J64:J67)</f>
        <v>0</v>
      </c>
      <c r="M12" s="2">
        <f>SUM(K64:K67)</f>
        <v>0</v>
      </c>
      <c r="N12" s="2">
        <f>MAX(ABS(D12*(C12*(Tinh_toan_x2!E14*Tinh_toan_x2!E17+F12)*Tinh_toan_x2!E12/(2*Tinh_toan_x2!E15*Tinh_toan_x2!E13)+(Tinh_toan_x2!C47+Tinh_toan_x2!E52+Tinh_toan_x2!E53/Tinh_toan_x2!E13^2)*2*Tinh_toan_x2!E13/Tinh_toan_x2!E12*F12)),ABS(D12*(C12*(Tinh_toan_x2!E14*Tinh_toan_x2!E17+I12)*Tinh_toan_x2!E12/(2*Tinh_toan_x2!E15*Tinh_toan_x2!E13)+(Tinh_toan_x2!C47+Tinh_toan_x2!E52+Tinh_toan_x2!E53/Tinh_toan_x2!E13^2)*2*Tinh_toan_x2!E13/Tinh_toan_x2!E12*I12)))</f>
        <v>0</v>
      </c>
    </row>
    <row r="13" spans="1:14" ht="32.1" customHeight="1">
      <c r="A13" s="1" t="s">
        <v>228</v>
      </c>
      <c r="B13" s="2">
        <f>Tinh_toan_x2!E58</f>
        <v>0.25</v>
      </c>
      <c r="C13" s="2">
        <f>Tinh_toan_x2!E7+Tinh_toan_x2!E51</f>
        <v>222</v>
      </c>
      <c r="D13" s="2">
        <v>-1</v>
      </c>
      <c r="E13" s="2">
        <f>Tinh_toan_x2!E9/(Tinh_toan_x2!M20-Tinh_toan_x2!E58)/Tinh_toan_x2!E58</f>
        <v>0.2742857142857143</v>
      </c>
      <c r="F13" s="2">
        <v>0</v>
      </c>
      <c r="G13" s="2">
        <v>0</v>
      </c>
      <c r="H13" s="2">
        <f t="shared" si="4"/>
        <v>122</v>
      </c>
      <c r="I13" s="2">
        <f t="shared" si="0"/>
        <v>6.8571428571428575E-2</v>
      </c>
      <c r="J13" s="2">
        <f t="shared" si="1"/>
        <v>8.5714285714285719E-3</v>
      </c>
      <c r="K13" s="2">
        <f t="shared" si="2"/>
        <v>7.1428571428571429E-4</v>
      </c>
      <c r="L13" s="2">
        <f>SUM(J68:J71)</f>
        <v>13.384131974917988</v>
      </c>
      <c r="M13" s="2">
        <f>SUM(K68:K71)</f>
        <v>0.77509176763915999</v>
      </c>
      <c r="N13" s="2">
        <f>MAX(ABS(D13*(C13*(Tinh_toan_x2!E14*Tinh_toan_x2!E17+F13)*Tinh_toan_x2!E12/(2*Tinh_toan_x2!E15*Tinh_toan_x2!E13)+(Tinh_toan_x2!C47+Tinh_toan_x2!E52+Tinh_toan_x2!E53/Tinh_toan_x2!E13^2)*2*Tinh_toan_x2!E13/Tinh_toan_x2!E12*F13)),ABS(D13*(C13*(Tinh_toan_x2!E14*Tinh_toan_x2!E17+I13)*Tinh_toan_x2!E12/(2*Tinh_toan_x2!E15*Tinh_toan_x2!E13)+(Tinh_toan_x2!C47+Tinh_toan_x2!E52+Tinh_toan_x2!E53/Tinh_toan_x2!E13^2)*2*Tinh_toan_x2!E13/Tinh_toan_x2!E12*I13)))</f>
        <v>2.7263906250000005</v>
      </c>
    </row>
    <row r="14" spans="1:14" ht="32.1" customHeight="1">
      <c r="A14" s="1" t="s">
        <v>229</v>
      </c>
      <c r="B14" s="2">
        <f>Tinh_toan_x2!M20-2*Tinh_toan_x2!E58</f>
        <v>1.5</v>
      </c>
      <c r="C14" s="2">
        <f>Tinh_toan_x2!E7+Tinh_toan_x2!E51</f>
        <v>222</v>
      </c>
      <c r="D14" s="2">
        <v>-1</v>
      </c>
      <c r="E14" s="2">
        <f>0</f>
        <v>0</v>
      </c>
      <c r="F14" s="2">
        <f t="shared" ref="F14:G19" si="5">I13</f>
        <v>6.8571428571428575E-2</v>
      </c>
      <c r="G14" s="2">
        <f t="shared" si="5"/>
        <v>8.5714285714285719E-3</v>
      </c>
      <c r="H14" s="2">
        <f t="shared" si="4"/>
        <v>122.25</v>
      </c>
      <c r="I14" s="2">
        <f t="shared" si="0"/>
        <v>6.8571428571428575E-2</v>
      </c>
      <c r="J14" s="2">
        <f t="shared" si="1"/>
        <v>0.11142857142857145</v>
      </c>
      <c r="K14" s="2">
        <f t="shared" si="2"/>
        <v>9.0000000000000011E-2</v>
      </c>
      <c r="L14" s="2">
        <f>SUM(J72:J75)</f>
        <v>31980.38208946876</v>
      </c>
      <c r="M14" s="2">
        <f>SUM(K72:K75)</f>
        <v>11.14980876013184</v>
      </c>
      <c r="N14" s="2">
        <f>MAX(ABS(D14*(C14*(Tinh_toan_x2!E14*Tinh_toan_x2!E17+F14)*Tinh_toan_x2!E12/(2*Tinh_toan_x2!E15*Tinh_toan_x2!E13)+(Tinh_toan_x2!C47+Tinh_toan_x2!E52+Tinh_toan_x2!E53/Tinh_toan_x2!E13^2)*2*Tinh_toan_x2!E13/Tinh_toan_x2!E12*F14)),ABS(D14*(C14*(Tinh_toan_x2!E14*Tinh_toan_x2!E17+I14)*Tinh_toan_x2!E12/(2*Tinh_toan_x2!E15*Tinh_toan_x2!E13)+(Tinh_toan_x2!C47+Tinh_toan_x2!E52+Tinh_toan_x2!E53/Tinh_toan_x2!E13^2)*2*Tinh_toan_x2!E13/Tinh_toan_x2!E12*I14)))</f>
        <v>2.7263906250000005</v>
      </c>
    </row>
    <row r="15" spans="1:14" ht="32.1" customHeight="1">
      <c r="A15" s="1" t="s">
        <v>230</v>
      </c>
      <c r="B15" s="2">
        <f>Tinh_toan_x2!E58</f>
        <v>0.25</v>
      </c>
      <c r="C15" s="2">
        <f>Tinh_toan_x2!E7+Tinh_toan_x2!E51</f>
        <v>222</v>
      </c>
      <c r="D15" s="2">
        <v>-1</v>
      </c>
      <c r="E15" s="2">
        <f>-Tinh_toan_x2!E9/(Tinh_toan_x2!M20-Tinh_toan_x2!E58)/Tinh_toan_x2!E58</f>
        <v>-0.2742857142857143</v>
      </c>
      <c r="F15" s="2">
        <f t="shared" si="5"/>
        <v>6.8571428571428575E-2</v>
      </c>
      <c r="G15" s="2">
        <f t="shared" si="5"/>
        <v>0.11142857142857145</v>
      </c>
      <c r="H15" s="2">
        <f t="shared" si="4"/>
        <v>123.75</v>
      </c>
      <c r="I15" s="2">
        <f t="shared" si="0"/>
        <v>0</v>
      </c>
      <c r="J15" s="2">
        <f t="shared" si="1"/>
        <v>0.12000000000000001</v>
      </c>
      <c r="K15" s="2">
        <f t="shared" si="2"/>
        <v>2.928571428571429E-2</v>
      </c>
      <c r="L15" s="2">
        <f>SUM(J76:J79)</f>
        <v>6612.889985839206</v>
      </c>
      <c r="M15" s="2">
        <f>SUM(K76:K79)</f>
        <v>0.7750917676391601</v>
      </c>
      <c r="N15" s="2">
        <f>MAX(ABS(D15*(C15*(Tinh_toan_x2!E14*Tinh_toan_x2!E17+F15)*Tinh_toan_x2!E12/(2*Tinh_toan_x2!E15*Tinh_toan_x2!E13)+(Tinh_toan_x2!C47+Tinh_toan_x2!E52+Tinh_toan_x2!E53/Tinh_toan_x2!E13^2)*2*Tinh_toan_x2!E13/Tinh_toan_x2!E12*F15)),ABS(D15*(C15*(Tinh_toan_x2!E14*Tinh_toan_x2!E17+I15)*Tinh_toan_x2!E12/(2*Tinh_toan_x2!E15*Tinh_toan_x2!E13)+(Tinh_toan_x2!C47+Tinh_toan_x2!E52+Tinh_toan_x2!E53/Tinh_toan_x2!E13^2)*2*Tinh_toan_x2!E13/Tinh_toan_x2!E12*I15)))</f>
        <v>2.7263906250000005</v>
      </c>
    </row>
    <row r="16" spans="1:14" ht="32.1" customHeight="1">
      <c r="A16" s="1" t="s">
        <v>231</v>
      </c>
      <c r="B16" s="2">
        <f>Tinh_toan_x2!M26</f>
        <v>82.5</v>
      </c>
      <c r="C16" s="2">
        <f>Tinh_toan_x2!E7+Tinh_toan_x2!E51</f>
        <v>222</v>
      </c>
      <c r="D16" s="2">
        <v>-1</v>
      </c>
      <c r="E16" s="2">
        <f>0</f>
        <v>0</v>
      </c>
      <c r="F16" s="2">
        <f t="shared" si="5"/>
        <v>0</v>
      </c>
      <c r="G16" s="2">
        <f t="shared" si="5"/>
        <v>0.12000000000000001</v>
      </c>
      <c r="H16" s="2">
        <f t="shared" si="4"/>
        <v>124</v>
      </c>
      <c r="I16" s="2">
        <f t="shared" si="0"/>
        <v>0</v>
      </c>
      <c r="J16" s="2">
        <f t="shared" si="1"/>
        <v>0.12000000000000001</v>
      </c>
      <c r="K16" s="2">
        <f t="shared" si="2"/>
        <v>9.9</v>
      </c>
      <c r="L16" s="2">
        <f>SUM(J80:J83)</f>
        <v>244555.77879562508</v>
      </c>
      <c r="M16" s="2">
        <f>SUM(K80:K83)</f>
        <v>26.536000303344732</v>
      </c>
      <c r="N16" s="2">
        <f>MAX(ABS(D16*(C16*(Tinh_toan_x2!E14*Tinh_toan_x2!E17+F16)*Tinh_toan_x2!E12/(2*Tinh_toan_x2!E15*Tinh_toan_x2!E13)+(Tinh_toan_x2!C47+Tinh_toan_x2!E52+Tinh_toan_x2!E53/Tinh_toan_x2!E13^2)*2*Tinh_toan_x2!E13/Tinh_toan_x2!E12*F16)),ABS(D16*(C16*(Tinh_toan_x2!E14*Tinh_toan_x2!E17+I16)*Tinh_toan_x2!E12/(2*Tinh_toan_x2!E15*Tinh_toan_x2!E13)+(Tinh_toan_x2!C47+Tinh_toan_x2!E52+Tinh_toan_x2!E53/Tinh_toan_x2!E13^2)*2*Tinh_toan_x2!E13/Tinh_toan_x2!E12*I16)))</f>
        <v>0.56714062500000006</v>
      </c>
    </row>
    <row r="17" spans="1:14" ht="32.1" customHeight="1">
      <c r="A17" s="1" t="s">
        <v>232</v>
      </c>
      <c r="B17" s="2">
        <f>Tinh_toan_x2!E58</f>
        <v>0.25</v>
      </c>
      <c r="C17" s="2">
        <f>Tinh_toan_x2!E7+Tinh_toan_x2!E51</f>
        <v>222</v>
      </c>
      <c r="D17" s="2">
        <v>-1</v>
      </c>
      <c r="E17" s="2">
        <f>-Tinh_toan_x2!E9/(Tinh_toan_x2!M29-Tinh_toan_x2!E58)/Tinh_toan_x2!E58</f>
        <v>-0.10105263157894738</v>
      </c>
      <c r="F17" s="2">
        <f t="shared" si="5"/>
        <v>0</v>
      </c>
      <c r="G17" s="2">
        <f t="shared" si="5"/>
        <v>0.12000000000000001</v>
      </c>
      <c r="H17" s="2">
        <f t="shared" si="4"/>
        <v>206.5</v>
      </c>
      <c r="I17" s="2">
        <f t="shared" si="0"/>
        <v>-2.5263157894736845E-2</v>
      </c>
      <c r="J17" s="2">
        <f t="shared" si="1"/>
        <v>0.1168421052631579</v>
      </c>
      <c r="K17" s="2">
        <f t="shared" si="2"/>
        <v>2.9736842105263159E-2</v>
      </c>
      <c r="L17" s="2">
        <f>SUM(J84:J87)</f>
        <v>186.62198597776302</v>
      </c>
      <c r="M17" s="2">
        <f>SUM(K84:K87)</f>
        <v>2.0356930105616178E-2</v>
      </c>
      <c r="N17" s="2">
        <f>MAX(ABS(D17*(C17*(Tinh_toan_x2!E14*Tinh_toan_x2!E17+F17)*Tinh_toan_x2!E12/(2*Tinh_toan_x2!E15*Tinh_toan_x2!E13)+(Tinh_toan_x2!C47+Tinh_toan_x2!E52+Tinh_toan_x2!E53/Tinh_toan_x2!E13^2)*2*Tinh_toan_x2!E13/Tinh_toan_x2!E12*F17)),ABS(D17*(C17*(Tinh_toan_x2!E14*Tinh_toan_x2!E17+I17)*Tinh_toan_x2!E12/(2*Tinh_toan_x2!E15*Tinh_toan_x2!E13)+(Tinh_toan_x2!C47+Tinh_toan_x2!E52+Tinh_toan_x2!E53/Tinh_toan_x2!E13^2)*2*Tinh_toan_x2!E13/Tinh_toan_x2!E12*I17)))</f>
        <v>0.56714062500000006</v>
      </c>
    </row>
    <row r="18" spans="1:14" ht="32.1" customHeight="1">
      <c r="A18" s="1" t="s">
        <v>233</v>
      </c>
      <c r="B18" s="2">
        <f>Tinh_toan_x2!M29-2*Tinh_toan_x2!E58</f>
        <v>4.5</v>
      </c>
      <c r="C18" s="2">
        <f>Tinh_toan_x2!E7+Tinh_toan_x2!E51</f>
        <v>222</v>
      </c>
      <c r="D18" s="2">
        <v>-1</v>
      </c>
      <c r="E18" s="2">
        <f>0</f>
        <v>0</v>
      </c>
      <c r="F18" s="2">
        <f t="shared" si="5"/>
        <v>-2.5263157894736845E-2</v>
      </c>
      <c r="G18" s="2">
        <f t="shared" si="5"/>
        <v>0.1168421052631579</v>
      </c>
      <c r="H18" s="2">
        <f t="shared" si="4"/>
        <v>206.75</v>
      </c>
      <c r="I18" s="2">
        <f t="shared" si="0"/>
        <v>-2.5263157894736845E-2</v>
      </c>
      <c r="J18" s="2">
        <f t="shared" si="1"/>
        <v>3.1578947368420957E-3</v>
      </c>
      <c r="K18" s="2">
        <f t="shared" si="2"/>
        <v>0.27</v>
      </c>
      <c r="L18" s="2">
        <f>SUM(J88:J91)</f>
        <v>702.50329689252669</v>
      </c>
      <c r="M18" s="2">
        <f>SUM(K88:K91)</f>
        <v>0.23469306201340961</v>
      </c>
      <c r="N18" s="2">
        <f>MAX(ABS(D18*(C18*(Tinh_toan_x2!E14*Tinh_toan_x2!E17+F18)*Tinh_toan_x2!E12/(2*Tinh_toan_x2!E15*Tinh_toan_x2!E13)+(Tinh_toan_x2!C47+Tinh_toan_x2!E52+Tinh_toan_x2!E53/Tinh_toan_x2!E13^2)*2*Tinh_toan_x2!E13/Tinh_toan_x2!E12*F18)),ABS(D18*(C18*(Tinh_toan_x2!E14*Tinh_toan_x2!E17+I18)*Tinh_toan_x2!E12/(2*Tinh_toan_x2!E15*Tinh_toan_x2!E13)+(Tinh_toan_x2!C47+Tinh_toan_x2!E52+Tinh_toan_x2!E53/Tinh_toan_x2!E13^2)*2*Tinh_toan_x2!E13/Tinh_toan_x2!E12*I18)))</f>
        <v>0.22837253289473691</v>
      </c>
    </row>
    <row r="19" spans="1:14" ht="32.1" customHeight="1">
      <c r="A19" s="1" t="s">
        <v>234</v>
      </c>
      <c r="B19" s="2">
        <f>Tinh_toan_x2!E58</f>
        <v>0.25</v>
      </c>
      <c r="C19" s="2">
        <f>Tinh_toan_x2!E7+Tinh_toan_x2!E51</f>
        <v>222</v>
      </c>
      <c r="D19" s="2">
        <v>-1</v>
      </c>
      <c r="E19" s="2">
        <f>Tinh_toan_x2!E9/(Tinh_toan_x2!M29-Tinh_toan_x2!E58)/Tinh_toan_x2!E58</f>
        <v>0.10105263157894738</v>
      </c>
      <c r="F19" s="2">
        <f t="shared" si="5"/>
        <v>-2.5263157894736845E-2</v>
      </c>
      <c r="G19" s="2">
        <f t="shared" si="5"/>
        <v>3.1578947368420957E-3</v>
      </c>
      <c r="H19" s="2">
        <f t="shared" si="4"/>
        <v>211.25</v>
      </c>
      <c r="I19" s="2">
        <f t="shared" si="0"/>
        <v>0</v>
      </c>
      <c r="J19" s="2">
        <f t="shared" si="1"/>
        <v>-9.9746599868666408E-18</v>
      </c>
      <c r="K19" s="2">
        <f t="shared" si="2"/>
        <v>2.6315789473683966E-4</v>
      </c>
      <c r="L19" s="2">
        <f>SUM(J92:J95)</f>
        <v>6.9348240671351091E-3</v>
      </c>
      <c r="M19" s="2">
        <f>SUM(K92:K95)</f>
        <v>2.0356930105616171E-2</v>
      </c>
      <c r="N19" s="2">
        <f>MAX(ABS(D19*(C19*(Tinh_toan_x2!E14*Tinh_toan_x2!E17+F19)*Tinh_toan_x2!E12/(2*Tinh_toan_x2!E15*Tinh_toan_x2!E13)+(Tinh_toan_x2!C47+Tinh_toan_x2!E52+Tinh_toan_x2!E53/Tinh_toan_x2!E13^2)*2*Tinh_toan_x2!E13/Tinh_toan_x2!E12*F19)),ABS(D19*(C19*(Tinh_toan_x2!E14*Tinh_toan_x2!E17+I19)*Tinh_toan_x2!E12/(2*Tinh_toan_x2!E15*Tinh_toan_x2!E13)+(Tinh_toan_x2!C47+Tinh_toan_x2!E52+Tinh_toan_x2!E53/Tinh_toan_x2!E13^2)*2*Tinh_toan_x2!E13/Tinh_toan_x2!E12*I19)))</f>
        <v>0.56714062500000006</v>
      </c>
    </row>
    <row r="20" spans="1:14" ht="32.1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32.1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39.950000000000003" customHeight="1">
      <c r="A22" s="1" t="s">
        <v>235</v>
      </c>
      <c r="B22" s="2">
        <f>SUM(B5:B19)</f>
        <v>211.5</v>
      </c>
      <c r="C22" s="2" t="s">
        <v>12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39.950000000000003" customHeight="1">
      <c r="A23" s="1" t="s">
        <v>236</v>
      </c>
      <c r="B23" s="2">
        <f>SUM(K5:K11)</f>
        <v>10.32</v>
      </c>
      <c r="C23" s="2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39.950000000000003" customHeight="1">
      <c r="A24" s="1" t="s">
        <v>237</v>
      </c>
      <c r="B24" s="2">
        <f>SUM(K13:K19)</f>
        <v>10.32</v>
      </c>
      <c r="C24" s="2" t="s">
        <v>20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9.950000000000003" customHeight="1">
      <c r="A25" s="1" t="s">
        <v>238</v>
      </c>
      <c r="B25" s="2">
        <f>SQRT(SUM(L5:L19)/B22)</f>
        <v>1924.6694715794124</v>
      </c>
      <c r="C25" s="2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9.950000000000003" customHeight="1">
      <c r="A26" s="1" t="s">
        <v>239</v>
      </c>
      <c r="B26" s="2">
        <f>SQRT(SUM(M5:M19)/B22)</f>
        <v>20.973820904570346</v>
      </c>
      <c r="C26" s="2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9.950000000000003" customHeight="1">
      <c r="A27" s="1" t="s">
        <v>240</v>
      </c>
      <c r="B27" s="2">
        <f>MAX(N5:N19)</f>
        <v>35.041031250000003</v>
      </c>
      <c r="C27" s="2" t="s">
        <v>192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9.950000000000003" customHeight="1">
      <c r="A28" s="1" t="s">
        <v>241</v>
      </c>
      <c r="B28" s="2">
        <f>MAX(MAX(F5:F19),-MIN(F5:F19),MAX(I5:I19),-MIN(I5:I19))</f>
        <v>6.8571428571428575E-2</v>
      </c>
      <c r="C28" s="2" t="s">
        <v>242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9.950000000000003" customHeight="1">
      <c r="A29" s="1" t="s">
        <v>243</v>
      </c>
      <c r="B29" s="2">
        <f>MAX(MAX(E5:E19),-MIN(E5:E19))</f>
        <v>0.2742857142857143</v>
      </c>
      <c r="C29" s="2" t="s">
        <v>244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9.950000000000003" customHeight="1">
      <c r="A30" s="1" t="s">
        <v>156</v>
      </c>
      <c r="B30" s="2">
        <f>B25*Tinh_toan_x2!E16</f>
        <v>2309.6033658952947</v>
      </c>
      <c r="C30" s="2" t="s">
        <v>41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9.950000000000003" customHeight="1">
      <c r="A31" s="1" t="s">
        <v>245</v>
      </c>
      <c r="B31" s="2" t="str">
        <f>IF(AND(B28&lt;=Tinh_toan_x2!E10,B29&lt;=Tinh_toan_x2!E11,ABS(B23-B24)&lt;0.000001,MIN(B5:B19)&gt;=0),"Đạt theo đầu vào","CẦN SỬA")</f>
        <v>Đạt theo đầu vào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9.950000000000003" customHeight="1">
      <c r="A32" s="1" t="s">
        <v>246</v>
      </c>
      <c r="B32" s="2" t="str">
        <f>IF(Tinh_toan_x2!E14*Tinh_toan_x2!E17+B28&gt;0,IF(Tinh_toan_x2!E14*Tinh_toan_x2!E17&gt; B28,"Áp dụng công thức thuận","CẦN XÉT HIỆU SUẤT NGƯỢC"),"CẦN XÉT LẠI")</f>
        <v>Áp dụng công thức thuận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2.1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44.1" customHeight="1">
      <c r="A34" s="8" t="s">
        <v>247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2"/>
      <c r="M34" s="2"/>
      <c r="N34" s="2"/>
    </row>
    <row r="35" spans="1:14" ht="32.1" customHeight="1">
      <c r="A35" s="3" t="s">
        <v>206</v>
      </c>
      <c r="B35" s="4" t="s">
        <v>248</v>
      </c>
      <c r="C35" s="4" t="s">
        <v>249</v>
      </c>
      <c r="D35" s="4" t="s">
        <v>250</v>
      </c>
      <c r="E35" s="4" t="s">
        <v>251</v>
      </c>
      <c r="F35" s="4" t="s">
        <v>252</v>
      </c>
      <c r="G35" s="4" t="s">
        <v>253</v>
      </c>
      <c r="H35" s="4" t="s">
        <v>254</v>
      </c>
      <c r="I35" s="4" t="s">
        <v>255</v>
      </c>
      <c r="J35" s="4" t="s">
        <v>256</v>
      </c>
      <c r="K35" s="4" t="s">
        <v>257</v>
      </c>
      <c r="L35" s="2"/>
      <c r="M35" s="2"/>
      <c r="N35" s="2"/>
    </row>
    <row r="36" spans="1:14" ht="32.1" customHeight="1">
      <c r="A36" s="1" t="str">
        <f>A5</f>
        <v>Có tải tăng j+</v>
      </c>
      <c r="B36" s="2">
        <f>B5*0.173927422568727</f>
        <v>4.3481855642181752E-2</v>
      </c>
      <c r="C36" s="2">
        <v>6.94318442029737E-2</v>
      </c>
      <c r="D36" s="2">
        <f>B5*C36</f>
        <v>1.7357961050743425E-2</v>
      </c>
      <c r="E36" s="2">
        <f>G5+F5*D36+0.5*E5*D36^2</f>
        <v>4.1320979909365826E-5</v>
      </c>
      <c r="F36" s="2">
        <f>F5+E5*D36</f>
        <v>4.761040745346768E-3</v>
      </c>
      <c r="G36" s="2">
        <f>D5*C5*(Tinh_toan_x2!E14*Tinh_toan_x2!E17+F36)</f>
        <v>24474.374391035097</v>
      </c>
      <c r="H36" s="2">
        <f>G36*Tinh_toan_x2!E12/(2*Tinh_toan_x2!E15*Tinh_toan_x2!E13)+D5*(Tinh_toan_x2!C47+Tinh_toan_x2!E52+Tinh_toan_x2!E53/Tinh_toan_x2!E13^2)*2*Tinh_toan_x2!E13/Tinh_toan_x2!E12*F36</f>
        <v>32.01621945958177</v>
      </c>
      <c r="I36" s="2">
        <f>H36*D5*E36*2*Tinh_toan_x2!E13/Tinh_toan_x2!E12</f>
        <v>1.0583532488505805</v>
      </c>
      <c r="J36" s="2">
        <f t="shared" ref="J36:J67" si="6">I36^2*B36</f>
        <v>4.870453086618215E-2</v>
      </c>
      <c r="K36" s="2">
        <f t="shared" ref="K36:K67" si="7">H36^2*B36</f>
        <v>44.570567757211904</v>
      </c>
      <c r="L36" s="2"/>
      <c r="M36" s="2"/>
      <c r="N36" s="2"/>
    </row>
    <row r="37" spans="1:14" ht="32.1" customHeight="1">
      <c r="A37" s="1" t="str">
        <f>A5</f>
        <v>Có tải tăng j+</v>
      </c>
      <c r="B37" s="2">
        <f>B5*0.326072577431273</f>
        <v>8.1518144357818248E-2</v>
      </c>
      <c r="C37" s="2">
        <v>0.33000947820757198</v>
      </c>
      <c r="D37" s="2">
        <f>B5*C37</f>
        <v>8.2502369551892996E-2</v>
      </c>
      <c r="E37" s="2">
        <f>G5+F5*D37+0.5*E5*D37^2</f>
        <v>9.3348219177286237E-4</v>
      </c>
      <c r="F37" s="2">
        <f>F5+E5*D37</f>
        <v>2.2629221362804937E-2</v>
      </c>
      <c r="G37" s="2">
        <f>D5*C5*(Tinh_toan_x2!E14*Tinh_toan_x2!E17+F37)</f>
        <v>24696.726030638747</v>
      </c>
      <c r="H37" s="2">
        <f>G37*Tinh_toan_x2!E12/(2*Tinh_toan_x2!E15*Tinh_toan_x2!E13)+D5*(Tinh_toan_x2!C47+Tinh_toan_x2!E52+Tinh_toan_x2!E53/Tinh_toan_x2!E13^2)*2*Tinh_toan_x2!E13/Tinh_toan_x2!E12*F37</f>
        <v>32.863227058913715</v>
      </c>
      <c r="I37" s="2">
        <f>H37*D5*E37*2*Tinh_toan_x2!E13/Tinh_toan_x2!E12</f>
        <v>24.541789778947209</v>
      </c>
      <c r="J37" s="2">
        <f t="shared" si="6"/>
        <v>49.098333149307933</v>
      </c>
      <c r="K37" s="2">
        <f t="shared" si="7"/>
        <v>88.038918712859612</v>
      </c>
      <c r="L37" s="2"/>
      <c r="M37" s="2"/>
      <c r="N37" s="2"/>
    </row>
    <row r="38" spans="1:14" ht="32.1" customHeight="1">
      <c r="A38" s="1" t="str">
        <f>A5</f>
        <v>Có tải tăng j+</v>
      </c>
      <c r="B38" s="2">
        <f>B5*0.326072577431273</f>
        <v>8.1518144357818248E-2</v>
      </c>
      <c r="C38" s="2">
        <v>0.66999052179242802</v>
      </c>
      <c r="D38" s="2">
        <f>B5*C38</f>
        <v>0.167497630448107</v>
      </c>
      <c r="E38" s="2">
        <f>G5+F5*D38+0.5*E5*D38^2</f>
        <v>3.8476054225001998E-3</v>
      </c>
      <c r="F38" s="2">
        <f>F5+E5*D38</f>
        <v>4.5942207208623638E-2</v>
      </c>
      <c r="G38" s="2">
        <f>D5*C5*(Tinh_toan_x2!E14*Tinh_toan_x2!E17+F38)</f>
        <v>24986.832826504116</v>
      </c>
      <c r="H38" s="2">
        <f>G38*Tinh_toan_x2!E12/(2*Tinh_toan_x2!E15*Tinh_toan_x2!E13)+D5*(Tinh_toan_x2!C47+Tinh_toan_x2!E52+Tinh_toan_x2!E53/Tinh_toan_x2!E13^2)*2*Tinh_toan_x2!E13/Tinh_toan_x2!E12*F38</f>
        <v>33.968335441086289</v>
      </c>
      <c r="I38" s="2">
        <f>H38*D5*E38*2*Tinh_toan_x2!E13/Tinh_toan_x2!E12</f>
        <v>104.55740130914346</v>
      </c>
      <c r="J38" s="2">
        <f t="shared" si="6"/>
        <v>891.17674739330005</v>
      </c>
      <c r="K38" s="2">
        <f t="shared" si="7"/>
        <v>94.059532557590245</v>
      </c>
      <c r="L38" s="2"/>
      <c r="M38" s="2"/>
      <c r="N38" s="2"/>
    </row>
    <row r="39" spans="1:14" ht="32.1" customHeight="1">
      <c r="A39" s="1" t="str">
        <f>A5</f>
        <v>Có tải tăng j+</v>
      </c>
      <c r="B39" s="2">
        <f>B5*0.173927422568727</f>
        <v>4.3481855642181752E-2</v>
      </c>
      <c r="C39" s="2">
        <v>0.93056815579702601</v>
      </c>
      <c r="D39" s="2">
        <f>B5*C39</f>
        <v>0.2326420389492565</v>
      </c>
      <c r="E39" s="2">
        <f>G5+F5*D39+0.5*E5*D39^2</f>
        <v>7.422489365001241E-3</v>
      </c>
      <c r="F39" s="2">
        <f>F5+E5*D39</f>
        <v>6.3810387826081783E-2</v>
      </c>
      <c r="G39" s="2">
        <f>D5*C5*(Tinh_toan_x2!E14*Tinh_toan_x2!E17+F39)</f>
        <v>25209.184466107763</v>
      </c>
      <c r="H39" s="2">
        <f>G39*Tinh_toan_x2!E12/(2*Tinh_toan_x2!E15*Tinh_toan_x2!E13)+D5*(Tinh_toan_x2!C47+Tinh_toan_x2!E52+Tinh_toan_x2!E53/Tinh_toan_x2!E13^2)*2*Tinh_toan_x2!E13/Tinh_toan_x2!E12*F39</f>
        <v>34.815343040418234</v>
      </c>
      <c r="I39" s="2">
        <f>H39*D5*E39*2*Tinh_toan_x2!E13/Tinh_toan_x2!E12</f>
        <v>206.73321076509947</v>
      </c>
      <c r="J39" s="2">
        <f t="shared" si="6"/>
        <v>1858.3545240244471</v>
      </c>
      <c r="K39" s="2">
        <f t="shared" si="7"/>
        <v>52.704709906176149</v>
      </c>
      <c r="L39" s="2"/>
      <c r="M39" s="2"/>
      <c r="N39" s="2"/>
    </row>
    <row r="40" spans="1:14" ht="32.1" customHeight="1">
      <c r="A40" s="1" t="str">
        <f>A6</f>
        <v>Có tải tăng a</v>
      </c>
      <c r="B40" s="2">
        <f>B6*0.173927422568727</f>
        <v>0.26089113385309048</v>
      </c>
      <c r="C40" s="2">
        <v>6.94318442029737E-2</v>
      </c>
      <c r="D40" s="2">
        <f>B6*C40</f>
        <v>0.10414776630446054</v>
      </c>
      <c r="E40" s="2">
        <f>G6+F6*D40+0.5*E6*D40^2</f>
        <v>1.5712989689448724E-2</v>
      </c>
      <c r="F40" s="2">
        <f>F6+E6*D40</f>
        <v>6.8571428571428575E-2</v>
      </c>
      <c r="G40" s="2">
        <f>D6*C6*(Tinh_toan_x2!E14*Tinh_toan_x2!E17+F40)</f>
        <v>25268.430857142859</v>
      </c>
      <c r="H40" s="2">
        <f>G40*Tinh_toan_x2!E12/(2*Tinh_toan_x2!E15*Tinh_toan_x2!E13)+D6*(Tinh_toan_x2!C47+Tinh_toan_x2!E52+Tinh_toan_x2!E53/Tinh_toan_x2!E13^2)*2*Tinh_toan_x2!E13/Tinh_toan_x2!E12*F40</f>
        <v>35.041031250000003</v>
      </c>
      <c r="I40" s="2">
        <f>H40*D6*E40*2*Tinh_toan_x2!E13/Tinh_toan_x2!E12</f>
        <v>440.47949019112042</v>
      </c>
      <c r="J40" s="2">
        <f t="shared" si="6"/>
        <v>50618.66686653583</v>
      </c>
      <c r="K40" s="2">
        <f t="shared" si="7"/>
        <v>320.34140645033392</v>
      </c>
      <c r="L40" s="2"/>
      <c r="M40" s="2"/>
      <c r="N40" s="2"/>
    </row>
    <row r="41" spans="1:14" ht="32.1" customHeight="1">
      <c r="A41" s="1" t="str">
        <f>A6</f>
        <v>Có tải tăng a</v>
      </c>
      <c r="B41" s="2">
        <f>B6*0.326072577431273</f>
        <v>0.48910886614690952</v>
      </c>
      <c r="C41" s="2">
        <v>0.33000947820757198</v>
      </c>
      <c r="D41" s="2">
        <f>B6*C41</f>
        <v>0.49501421731135797</v>
      </c>
      <c r="E41" s="2">
        <f>G6+F6*D41+0.5*E6*D41^2</f>
        <v>4.2515260615635979E-2</v>
      </c>
      <c r="F41" s="2">
        <f>F6+E6*D41</f>
        <v>6.8571428571428575E-2</v>
      </c>
      <c r="G41" s="2">
        <f>D6*C6*(Tinh_toan_x2!E14*Tinh_toan_x2!E17+F41)</f>
        <v>25268.430857142859</v>
      </c>
      <c r="H41" s="2">
        <f>G41*Tinh_toan_x2!E12/(2*Tinh_toan_x2!E15*Tinh_toan_x2!E13)+D6*(Tinh_toan_x2!C47+Tinh_toan_x2!E52+Tinh_toan_x2!E53/Tinh_toan_x2!E13^2)*2*Tinh_toan_x2!E13/Tinh_toan_x2!E12*F41</f>
        <v>35.041031250000003</v>
      </c>
      <c r="I41" s="2">
        <f>H41*D6*E41*2*Tinh_toan_x2!E13/Tinh_toan_x2!E12</f>
        <v>1191.8228606675157</v>
      </c>
      <c r="J41" s="2">
        <f t="shared" si="6"/>
        <v>694750.64457972976</v>
      </c>
      <c r="K41" s="2">
        <f t="shared" si="7"/>
        <v>600.56399684727376</v>
      </c>
      <c r="L41" s="2"/>
      <c r="M41" s="2"/>
      <c r="N41" s="2"/>
    </row>
    <row r="42" spans="1:14" ht="32.1" customHeight="1">
      <c r="A42" s="1" t="str">
        <f>A6</f>
        <v>Có tải tăng a</v>
      </c>
      <c r="B42" s="2">
        <f>B6*0.326072577431273</f>
        <v>0.48910886614690952</v>
      </c>
      <c r="C42" s="2">
        <v>0.66999052179242802</v>
      </c>
      <c r="D42" s="2">
        <f>B6*C42</f>
        <v>1.0049857826886419</v>
      </c>
      <c r="E42" s="2">
        <f>G6+F6*D42+0.5*E6*D42^2</f>
        <v>7.7484739384364024E-2</v>
      </c>
      <c r="F42" s="2">
        <f>F6+E6*D42</f>
        <v>6.8571428571428575E-2</v>
      </c>
      <c r="G42" s="2">
        <f>D6*C6*(Tinh_toan_x2!E14*Tinh_toan_x2!E17+F42)</f>
        <v>25268.430857142859</v>
      </c>
      <c r="H42" s="2">
        <f>G42*Tinh_toan_x2!E12/(2*Tinh_toan_x2!E15*Tinh_toan_x2!E13)+D6*(Tinh_toan_x2!C47+Tinh_toan_x2!E52+Tinh_toan_x2!E53/Tinh_toan_x2!E13^2)*2*Tinh_toan_x2!E13/Tinh_toan_x2!E12*F42</f>
        <v>35.041031250000003</v>
      </c>
      <c r="I42" s="2">
        <f>H42*D6*E42*2*Tinh_toan_x2!E13/Tinh_toan_x2!E12</f>
        <v>2172.1161393324846</v>
      </c>
      <c r="J42" s="2">
        <f t="shared" si="6"/>
        <v>2307658.9277423434</v>
      </c>
      <c r="K42" s="2">
        <f t="shared" si="7"/>
        <v>600.56399684727376</v>
      </c>
      <c r="L42" s="2"/>
      <c r="M42" s="2"/>
      <c r="N42" s="2"/>
    </row>
    <row r="43" spans="1:14" ht="32.1" customHeight="1">
      <c r="A43" s="1" t="str">
        <f>A6</f>
        <v>Có tải tăng a</v>
      </c>
      <c r="B43" s="2">
        <f>B6*0.173927422568727</f>
        <v>0.26089113385309048</v>
      </c>
      <c r="C43" s="2">
        <v>0.93056815579702601</v>
      </c>
      <c r="D43" s="2">
        <f>B6*C43</f>
        <v>1.395852233695539</v>
      </c>
      <c r="E43" s="2">
        <f>G6+F6*D43+0.5*E6*D43^2</f>
        <v>0.10428701031055125</v>
      </c>
      <c r="F43" s="2">
        <f>F6+E6*D43</f>
        <v>6.8571428571428575E-2</v>
      </c>
      <c r="G43" s="2">
        <f>D6*C6*(Tinh_toan_x2!E14*Tinh_toan_x2!E17+F43)</f>
        <v>25268.430857142859</v>
      </c>
      <c r="H43" s="2">
        <f>G43*Tinh_toan_x2!E12/(2*Tinh_toan_x2!E15*Tinh_toan_x2!E13)+D6*(Tinh_toan_x2!C47+Tinh_toan_x2!E52+Tinh_toan_x2!E53/Tinh_toan_x2!E13^2)*2*Tinh_toan_x2!E13/Tinh_toan_x2!E12*F43</f>
        <v>35.041031250000003</v>
      </c>
      <c r="I43" s="2">
        <f>H43*D6*E43*2*Tinh_toan_x2!E13/Tinh_toan_x2!E12</f>
        <v>2923.4595098088794</v>
      </c>
      <c r="J43" s="2">
        <f t="shared" si="6"/>
        <v>2229736.209834205</v>
      </c>
      <c r="K43" s="2">
        <f t="shared" si="7"/>
        <v>320.34140645033392</v>
      </c>
      <c r="L43" s="2"/>
      <c r="M43" s="2"/>
      <c r="N43" s="2"/>
    </row>
    <row r="44" spans="1:14" ht="32.1" customHeight="1">
      <c r="A44" s="1" t="str">
        <f>A7</f>
        <v>Có tải tăng j-</v>
      </c>
      <c r="B44" s="2">
        <f>B7*0.173927422568727</f>
        <v>4.3481855642181752E-2</v>
      </c>
      <c r="C44" s="2">
        <v>6.94318442029737E-2</v>
      </c>
      <c r="D44" s="2">
        <f>B7*C44</f>
        <v>1.7357961050743425E-2</v>
      </c>
      <c r="E44" s="2">
        <f>G7+F7*D44+0.5*E7*D44^2</f>
        <v>0.11257751063499878</v>
      </c>
      <c r="F44" s="2">
        <f>F7+E7*D44</f>
        <v>6.381038782608181E-2</v>
      </c>
      <c r="G44" s="2">
        <f>D7*C7*(Tinh_toan_x2!E14*Tinh_toan_x2!E17+F44)</f>
        <v>25209.184466107763</v>
      </c>
      <c r="H44" s="2">
        <f>G44*Tinh_toan_x2!E12/(2*Tinh_toan_x2!E15*Tinh_toan_x2!E13)+D7*(Tinh_toan_x2!C47+Tinh_toan_x2!E52+Tinh_toan_x2!E53/Tinh_toan_x2!E13^2)*2*Tinh_toan_x2!E13/Tinh_toan_x2!E12*F44</f>
        <v>34.815343040418234</v>
      </c>
      <c r="I44" s="2">
        <f>H44*D7*E44*2*Tinh_toan_x2!E13/Tinh_toan_x2!E12</f>
        <v>3135.5397211150516</v>
      </c>
      <c r="J44" s="2">
        <f t="shared" si="6"/>
        <v>427496.61816918309</v>
      </c>
      <c r="K44" s="2">
        <f t="shared" si="7"/>
        <v>52.704709906176149</v>
      </c>
      <c r="L44" s="2"/>
      <c r="M44" s="2"/>
      <c r="N44" s="2"/>
    </row>
    <row r="45" spans="1:14" ht="32.1" customHeight="1">
      <c r="A45" s="1" t="str">
        <f>A7</f>
        <v>Có tải tăng j-</v>
      </c>
      <c r="B45" s="2">
        <f>B7*0.326072577431273</f>
        <v>8.1518144357818248E-2</v>
      </c>
      <c r="C45" s="2">
        <v>0.33000947820757198</v>
      </c>
      <c r="D45" s="2">
        <f>B7*C45</f>
        <v>8.2502369551892996E-2</v>
      </c>
      <c r="E45" s="2">
        <f>G7+F7*D45+0.5*E7*D45^2</f>
        <v>0.11615239457749982</v>
      </c>
      <c r="F45" s="2">
        <f>F7+E7*D45</f>
        <v>4.5942207208623638E-2</v>
      </c>
      <c r="G45" s="2">
        <f>D7*C7*(Tinh_toan_x2!E14*Tinh_toan_x2!E17+F45)</f>
        <v>24986.832826504116</v>
      </c>
      <c r="H45" s="2">
        <f>G45*Tinh_toan_x2!E12/(2*Tinh_toan_x2!E15*Tinh_toan_x2!E13)+D7*(Tinh_toan_x2!C47+Tinh_toan_x2!E52+Tinh_toan_x2!E53/Tinh_toan_x2!E13^2)*2*Tinh_toan_x2!E13/Tinh_toan_x2!E12*F45</f>
        <v>33.968335441086289</v>
      </c>
      <c r="I45" s="2">
        <f>H45*D7*E45*2*Tinh_toan_x2!E13/Tinh_toan_x2!E12</f>
        <v>3156.4028010351408</v>
      </c>
      <c r="J45" s="2">
        <f t="shared" si="6"/>
        <v>812155.3793891595</v>
      </c>
      <c r="K45" s="2">
        <f t="shared" si="7"/>
        <v>94.059532557590245</v>
      </c>
      <c r="L45" s="2"/>
      <c r="M45" s="2"/>
      <c r="N45" s="2"/>
    </row>
    <row r="46" spans="1:14" ht="32.1" customHeight="1">
      <c r="A46" s="1" t="str">
        <f>A7</f>
        <v>Có tải tăng j-</v>
      </c>
      <c r="B46" s="2">
        <f>B7*0.326072577431273</f>
        <v>8.1518144357818248E-2</v>
      </c>
      <c r="C46" s="2">
        <v>0.66999052179242802</v>
      </c>
      <c r="D46" s="2">
        <f>B7*C46</f>
        <v>0.167497630448107</v>
      </c>
      <c r="E46" s="2">
        <f>G7+F7*D46+0.5*E7*D46^2</f>
        <v>0.11906651780822715</v>
      </c>
      <c r="F46" s="2">
        <f>F7+E7*D46</f>
        <v>2.2629221362804937E-2</v>
      </c>
      <c r="G46" s="2">
        <f>D7*C7*(Tinh_toan_x2!E14*Tinh_toan_x2!E17+F46)</f>
        <v>24696.726030638747</v>
      </c>
      <c r="H46" s="2">
        <f>G46*Tinh_toan_x2!E12/(2*Tinh_toan_x2!E15*Tinh_toan_x2!E13)+D7*(Tinh_toan_x2!C47+Tinh_toan_x2!E52+Tinh_toan_x2!E53/Tinh_toan_x2!E13^2)*2*Tinh_toan_x2!E13/Tinh_toan_x2!E12*F46</f>
        <v>32.863227058913715</v>
      </c>
      <c r="I46" s="2">
        <f>H46*D7*E46*2*Tinh_toan_x2!E13/Tinh_toan_x2!E12</f>
        <v>3130.3280078767693</v>
      </c>
      <c r="J46" s="2">
        <f t="shared" si="6"/>
        <v>798792.50082456949</v>
      </c>
      <c r="K46" s="2">
        <f t="shared" si="7"/>
        <v>88.038918712859612</v>
      </c>
      <c r="L46" s="2"/>
      <c r="M46" s="2"/>
      <c r="N46" s="2"/>
    </row>
    <row r="47" spans="1:14" ht="32.1" customHeight="1">
      <c r="A47" s="1" t="str">
        <f>A7</f>
        <v>Có tải tăng j-</v>
      </c>
      <c r="B47" s="2">
        <f>B7*0.173927422568727</f>
        <v>4.3481855642181752E-2</v>
      </c>
      <c r="C47" s="2">
        <v>0.93056815579702601</v>
      </c>
      <c r="D47" s="2">
        <f>B7*C47</f>
        <v>0.2326420389492565</v>
      </c>
      <c r="E47" s="2">
        <f>G7+F7*D47+0.5*E7*D47^2</f>
        <v>0.11995867902009065</v>
      </c>
      <c r="F47" s="2">
        <f>F7+E7*D47</f>
        <v>4.7610407453467923E-3</v>
      </c>
      <c r="G47" s="2">
        <f>D7*C7*(Tinh_toan_x2!E14*Tinh_toan_x2!E17+F47)</f>
        <v>24474.3743910351</v>
      </c>
      <c r="H47" s="2">
        <f>G47*Tinh_toan_x2!E12/(2*Tinh_toan_x2!E15*Tinh_toan_x2!E13)+D7*(Tinh_toan_x2!C47+Tinh_toan_x2!E52+Tinh_toan_x2!E53/Tinh_toan_x2!E13^2)*2*Tinh_toan_x2!E13/Tinh_toan_x2!E12*F47</f>
        <v>32.016219459581777</v>
      </c>
      <c r="I47" s="2">
        <f>H47*D7*E47*2*Tinh_toan_x2!E13/Tinh_toan_x2!E12</f>
        <v>3072.4987148710002</v>
      </c>
      <c r="J47" s="2">
        <f t="shared" si="6"/>
        <v>410479.51610644389</v>
      </c>
      <c r="K47" s="2">
        <f t="shared" si="7"/>
        <v>44.570567757211926</v>
      </c>
      <c r="L47" s="2"/>
      <c r="M47" s="2"/>
      <c r="N47" s="2"/>
    </row>
    <row r="48" spans="1:14" ht="32.1" customHeight="1">
      <c r="A48" s="1" t="str">
        <f>A8</f>
        <v>Có tải đều</v>
      </c>
      <c r="B48" s="2">
        <f>B8*0.173927422568727</f>
        <v>13.914193805498162</v>
      </c>
      <c r="C48" s="2">
        <v>6.94318442029737E-2</v>
      </c>
      <c r="D48" s="2">
        <f>B8*C48</f>
        <v>5.5545475362378962</v>
      </c>
      <c r="E48" s="2">
        <f>G8+F8*D48+0.5*E8*D48^2</f>
        <v>0.12000000000000001</v>
      </c>
      <c r="F48" s="2">
        <f>F8+E8*D48</f>
        <v>0</v>
      </c>
      <c r="G48" s="2">
        <f>D8*C8*(Tinh_toan_x2!E14*Tinh_toan_x2!E17+F48)</f>
        <v>24415.128000000001</v>
      </c>
      <c r="H48" s="2">
        <f>G48*Tinh_toan_x2!E12/(2*Tinh_toan_x2!E15*Tinh_toan_x2!E13)+D8*(Tinh_toan_x2!C47+Tinh_toan_x2!E52+Tinh_toan_x2!E53/Tinh_toan_x2!E13^2)*2*Tinh_toan_x2!E13/Tinh_toan_x2!E12*F48</f>
        <v>31.790531250000001</v>
      </c>
      <c r="I48" s="2">
        <f>H48*D8*E48*2*Tinh_toan_x2!E13/Tinh_toan_x2!E12</f>
        <v>3051.8910000000001</v>
      </c>
      <c r="J48" s="2">
        <f t="shared" si="6"/>
        <v>129597339.24811371</v>
      </c>
      <c r="K48" s="2">
        <f t="shared" si="7"/>
        <v>14062.211289942894</v>
      </c>
      <c r="L48" s="2"/>
      <c r="M48" s="2"/>
      <c r="N48" s="2"/>
    </row>
    <row r="49" spans="1:14" ht="32.1" customHeight="1">
      <c r="A49" s="1" t="str">
        <f>A8</f>
        <v>Có tải đều</v>
      </c>
      <c r="B49" s="2">
        <f>B8*0.326072577431273</f>
        <v>26.085806194501838</v>
      </c>
      <c r="C49" s="2">
        <v>0.33000947820757198</v>
      </c>
      <c r="D49" s="2">
        <f>B8*C49</f>
        <v>26.400758256605759</v>
      </c>
      <c r="E49" s="2">
        <f>G8+F8*D49+0.5*E8*D49^2</f>
        <v>0.12000000000000001</v>
      </c>
      <c r="F49" s="2">
        <f>F8+E8*D49</f>
        <v>0</v>
      </c>
      <c r="G49" s="2">
        <f>D8*C8*(Tinh_toan_x2!E14*Tinh_toan_x2!E17+F49)</f>
        <v>24415.128000000001</v>
      </c>
      <c r="H49" s="2">
        <f>G49*Tinh_toan_x2!E12/(2*Tinh_toan_x2!E15*Tinh_toan_x2!E13)+D8*(Tinh_toan_x2!C47+Tinh_toan_x2!E52+Tinh_toan_x2!E53/Tinh_toan_x2!E13^2)*2*Tinh_toan_x2!E13/Tinh_toan_x2!E12*F49</f>
        <v>31.790531250000001</v>
      </c>
      <c r="I49" s="2">
        <f>H49*D8*E49*2*Tinh_toan_x2!E13/Tinh_toan_x2!E12</f>
        <v>3051.8910000000001</v>
      </c>
      <c r="J49" s="2">
        <f t="shared" si="6"/>
        <v>242964207.7871263</v>
      </c>
      <c r="K49" s="2">
        <f t="shared" si="7"/>
        <v>26363.303796346172</v>
      </c>
      <c r="L49" s="2"/>
      <c r="M49" s="2"/>
      <c r="N49" s="2"/>
    </row>
    <row r="50" spans="1:14" ht="32.1" customHeight="1">
      <c r="A50" s="1" t="str">
        <f>A8</f>
        <v>Có tải đều</v>
      </c>
      <c r="B50" s="2">
        <f>B8*0.326072577431273</f>
        <v>26.085806194501838</v>
      </c>
      <c r="C50" s="2">
        <v>0.66999052179242802</v>
      </c>
      <c r="D50" s="2">
        <f>B8*C50</f>
        <v>53.599241743394245</v>
      </c>
      <c r="E50" s="2">
        <f>G8+F8*D50+0.5*E8*D50^2</f>
        <v>0.12000000000000001</v>
      </c>
      <c r="F50" s="2">
        <f>F8+E8*D50</f>
        <v>0</v>
      </c>
      <c r="G50" s="2">
        <f>D8*C8*(Tinh_toan_x2!E14*Tinh_toan_x2!E17+F50)</f>
        <v>24415.128000000001</v>
      </c>
      <c r="H50" s="2">
        <f>G50*Tinh_toan_x2!E12/(2*Tinh_toan_x2!E15*Tinh_toan_x2!E13)+D8*(Tinh_toan_x2!C47+Tinh_toan_x2!E52+Tinh_toan_x2!E53/Tinh_toan_x2!E13^2)*2*Tinh_toan_x2!E13/Tinh_toan_x2!E12*F50</f>
        <v>31.790531250000001</v>
      </c>
      <c r="I50" s="2">
        <f>H50*D8*E50*2*Tinh_toan_x2!E13/Tinh_toan_x2!E12</f>
        <v>3051.8910000000001</v>
      </c>
      <c r="J50" s="2">
        <f t="shared" si="6"/>
        <v>242964207.7871263</v>
      </c>
      <c r="K50" s="2">
        <f t="shared" si="7"/>
        <v>26363.303796346172</v>
      </c>
      <c r="L50" s="2"/>
      <c r="M50" s="2"/>
      <c r="N50" s="2"/>
    </row>
    <row r="51" spans="1:14" ht="32.1" customHeight="1">
      <c r="A51" s="1" t="str">
        <f>A8</f>
        <v>Có tải đều</v>
      </c>
      <c r="B51" s="2">
        <f>B8*0.173927422568727</f>
        <v>13.914193805498162</v>
      </c>
      <c r="C51" s="2">
        <v>0.93056815579702601</v>
      </c>
      <c r="D51" s="2">
        <f>B8*C51</f>
        <v>74.445452463762081</v>
      </c>
      <c r="E51" s="2">
        <f>G8+F8*D51+0.5*E8*D51^2</f>
        <v>0.12000000000000001</v>
      </c>
      <c r="F51" s="2">
        <f>F8+E8*D51</f>
        <v>0</v>
      </c>
      <c r="G51" s="2">
        <f>D8*C8*(Tinh_toan_x2!E14*Tinh_toan_x2!E17+F51)</f>
        <v>24415.128000000001</v>
      </c>
      <c r="H51" s="2">
        <f>G51*Tinh_toan_x2!E12/(2*Tinh_toan_x2!E15*Tinh_toan_x2!E13)+D8*(Tinh_toan_x2!C47+Tinh_toan_x2!E52+Tinh_toan_x2!E53/Tinh_toan_x2!E13^2)*2*Tinh_toan_x2!E13/Tinh_toan_x2!E12*F51</f>
        <v>31.790531250000001</v>
      </c>
      <c r="I51" s="2">
        <f>H51*D8*E51*2*Tinh_toan_x2!E13/Tinh_toan_x2!E12</f>
        <v>3051.8910000000001</v>
      </c>
      <c r="J51" s="2">
        <f t="shared" si="6"/>
        <v>129597339.24811371</v>
      </c>
      <c r="K51" s="2">
        <f t="shared" si="7"/>
        <v>14062.211289942894</v>
      </c>
      <c r="L51" s="2"/>
      <c r="M51" s="2"/>
      <c r="N51" s="2"/>
    </row>
    <row r="52" spans="1:14" ht="32.1" customHeight="1">
      <c r="A52" s="1" t="str">
        <f>A9</f>
        <v>Có tải giảm j-</v>
      </c>
      <c r="B52" s="2">
        <f>B9*0.173927422568727</f>
        <v>4.3481855642181752E-2</v>
      </c>
      <c r="C52" s="2">
        <v>6.94318442029737E-2</v>
      </c>
      <c r="D52" s="2">
        <f>B9*C52</f>
        <v>1.7357961050743425E-2</v>
      </c>
      <c r="E52" s="2">
        <f>G9+F9*D52+0.5*E9*D52^2</f>
        <v>0.11999258341386243</v>
      </c>
      <c r="F52" s="2">
        <f>F9+E9*D52</f>
        <v>-8.5454577480583024E-4</v>
      </c>
      <c r="G52" s="2">
        <f>D9*C9*(Tinh_toan_x2!E14*Tinh_toan_x2!E17+F52)</f>
        <v>24404.494032378316</v>
      </c>
      <c r="H52" s="2">
        <f>G52*Tinh_toan_x2!E12/(2*Tinh_toan_x2!E15*Tinh_toan_x2!E13)+D9*(Tinh_toan_x2!C47+Tinh_toan_x2!E52+Tinh_toan_x2!E53/Tinh_toan_x2!E13^2)*2*Tinh_toan_x2!E13/Tinh_toan_x2!E12*F52</f>
        <v>31.750023109818656</v>
      </c>
      <c r="I52" s="2">
        <f>H52*D9*E52*2*Tinh_toan_x2!E13/Tinh_toan_x2!E12</f>
        <v>3047.8138371175801</v>
      </c>
      <c r="J52" s="2">
        <f t="shared" si="6"/>
        <v>403910.31356951431</v>
      </c>
      <c r="K52" s="2">
        <f t="shared" si="7"/>
        <v>43.832491911790278</v>
      </c>
      <c r="L52" s="2"/>
      <c r="M52" s="2"/>
      <c r="N52" s="2"/>
    </row>
    <row r="53" spans="1:14" ht="32.1" customHeight="1">
      <c r="A53" s="1" t="str">
        <f>A9</f>
        <v>Có tải giảm j-</v>
      </c>
      <c r="B53" s="2">
        <f>B9*0.326072577431273</f>
        <v>8.1518144357818248E-2</v>
      </c>
      <c r="C53" s="2">
        <v>0.33000947820757198</v>
      </c>
      <c r="D53" s="2">
        <f>B9*C53</f>
        <v>8.2502369551892996E-2</v>
      </c>
      <c r="E53" s="2">
        <f>G9+F9*D53+0.5*E9*D53^2</f>
        <v>0.11983245191429719</v>
      </c>
      <c r="F53" s="2">
        <f>F9+E9*D53</f>
        <v>-4.0616551164008863E-3</v>
      </c>
      <c r="G53" s="2">
        <f>D9*C9*(Tinh_toan_x2!E14*Tinh_toan_x2!E17+F53)</f>
        <v>24364.584763731513</v>
      </c>
      <c r="H53" s="2">
        <f>G53*Tinh_toan_x2!E12/(2*Tinh_toan_x2!E15*Tinh_toan_x2!E13)+D9*(Tinh_toan_x2!C47+Tinh_toan_x2!E52+Tinh_toan_x2!E53/Tinh_toan_x2!E13^2)*2*Tinh_toan_x2!E13/Tinh_toan_x2!E12*F53</f>
        <v>31.597996104810367</v>
      </c>
      <c r="I53" s="2">
        <f>H53*D9*E53*2*Tinh_toan_x2!E13/Tinh_toan_x2!E12</f>
        <v>3029.1722790542703</v>
      </c>
      <c r="J53" s="2">
        <f t="shared" si="6"/>
        <v>748001.0932747802</v>
      </c>
      <c r="K53" s="2">
        <f t="shared" si="7"/>
        <v>81.390434596030616</v>
      </c>
      <c r="L53" s="2"/>
      <c r="M53" s="2"/>
      <c r="N53" s="2"/>
    </row>
    <row r="54" spans="1:14" ht="32.1" customHeight="1">
      <c r="A54" s="1" t="str">
        <f>A9</f>
        <v>Có tải giảm j-</v>
      </c>
      <c r="B54" s="2">
        <f>B9*0.326072577431273</f>
        <v>8.1518144357818248E-2</v>
      </c>
      <c r="C54" s="2">
        <v>0.66999052179242802</v>
      </c>
      <c r="D54" s="2">
        <f>B9*C54</f>
        <v>0.167497630448107</v>
      </c>
      <c r="E54" s="2">
        <f>G9+F9*D54+0.5*E9*D54^2</f>
        <v>0.11930940415493588</v>
      </c>
      <c r="F54" s="2">
        <f>F9+E9*D54</f>
        <v>-8.2460371912914231E-3</v>
      </c>
      <c r="G54" s="2">
        <f>D9*C9*(Tinh_toan_x2!E14*Tinh_toan_x2!E17+F54)</f>
        <v>24312.514313191572</v>
      </c>
      <c r="H54" s="2">
        <f>G54*Tinh_toan_x2!E12/(2*Tinh_toan_x2!E15*Tinh_toan_x2!E13)+D9*(Tinh_toan_x2!C47+Tinh_toan_x2!E52+Tinh_toan_x2!E53/Tinh_toan_x2!E13^2)*2*Tinh_toan_x2!E13/Tinh_toan_x2!E12*F54</f>
        <v>31.39964331826657</v>
      </c>
      <c r="I54" s="2">
        <f>H54*D9*E54*2*Tinh_toan_x2!E13/Tinh_toan_x2!E12</f>
        <v>2997.0181879839183</v>
      </c>
      <c r="J54" s="2">
        <f t="shared" si="6"/>
        <v>732205.59332047671</v>
      </c>
      <c r="K54" s="2">
        <f t="shared" si="7"/>
        <v>80.371803646530736</v>
      </c>
      <c r="L54" s="2"/>
      <c r="M54" s="2"/>
      <c r="N54" s="2"/>
    </row>
    <row r="55" spans="1:14" ht="32.1" customHeight="1">
      <c r="A55" s="1" t="str">
        <f>A9</f>
        <v>Có tải giảm j-</v>
      </c>
      <c r="B55" s="2">
        <f>B9*0.173927422568727</f>
        <v>4.3481855642181752E-2</v>
      </c>
      <c r="C55" s="2">
        <v>0.93056815579702601</v>
      </c>
      <c r="D55" s="2">
        <f>B9*C55</f>
        <v>0.2326420389492565</v>
      </c>
      <c r="E55" s="2">
        <f>G9+F9*D55+0.5*E9*D55^2</f>
        <v>0.11866775831910235</v>
      </c>
      <c r="F55" s="2">
        <f>F9+E9*D55</f>
        <v>-1.1453146532886475E-2</v>
      </c>
      <c r="G55" s="2">
        <f>D9*C9*(Tinh_toan_x2!E14*Tinh_toan_x2!E17+F55)</f>
        <v>24272.605044544765</v>
      </c>
      <c r="H55" s="2">
        <f>G55*Tinh_toan_x2!E12/(2*Tinh_toan_x2!E15*Tinh_toan_x2!E13)+D9*(Tinh_toan_x2!C47+Tinh_toan_x2!E52+Tinh_toan_x2!E53/Tinh_toan_x2!E13^2)*2*Tinh_toan_x2!E13/Tinh_toan_x2!E12*F55</f>
        <v>31.247616313258273</v>
      </c>
      <c r="I55" s="2">
        <f>H55*D9*E55*2*Tinh_toan_x2!E13/Tinh_toan_x2!E12</f>
        <v>2966.4676645678182</v>
      </c>
      <c r="J55" s="2">
        <f t="shared" si="6"/>
        <v>382637.3035282577</v>
      </c>
      <c r="K55" s="2">
        <f t="shared" si="7"/>
        <v>42.456271952455396</v>
      </c>
      <c r="L55" s="2"/>
      <c r="M55" s="2"/>
      <c r="N55" s="2"/>
    </row>
    <row r="56" spans="1:14" ht="32.1" customHeight="1">
      <c r="A56" s="1" t="str">
        <f>A10</f>
        <v>Có tải giảm a</v>
      </c>
      <c r="B56" s="2">
        <f>B10*0.173927422568727</f>
        <v>1.6523105144029067</v>
      </c>
      <c r="C56" s="2">
        <v>6.94318442029737E-2</v>
      </c>
      <c r="D56" s="2">
        <f>B10*C56</f>
        <v>0.65960251992825014</v>
      </c>
      <c r="E56" s="2">
        <f>G10+F10*D56+0.5*E10*D56^2</f>
        <v>0.11034335360088307</v>
      </c>
      <c r="F56" s="2">
        <f>F10+E10*D56</f>
        <v>-1.2307692307692309E-2</v>
      </c>
      <c r="G56" s="2">
        <f>D10*C10*(Tinh_toan_x2!E14*Tinh_toan_x2!E17+F56)</f>
        <v>24261.971076923077</v>
      </c>
      <c r="H56" s="2">
        <f>G56*Tinh_toan_x2!E12/(2*Tinh_toan_x2!E15*Tinh_toan_x2!E13)+D10*(Tinh_toan_x2!C47+Tinh_toan_x2!E52+Tinh_toan_x2!E53/Tinh_toan_x2!E13^2)*2*Tinh_toan_x2!E13/Tinh_toan_x2!E12*F56</f>
        <v>31.207108173076922</v>
      </c>
      <c r="I56" s="2">
        <f>H56*D10*E56*2*Tinh_toan_x2!E13/Tinh_toan_x2!E12</f>
        <v>2754.7975776022677</v>
      </c>
      <c r="J56" s="2">
        <f t="shared" si="6"/>
        <v>12539235.279528817</v>
      </c>
      <c r="K56" s="2">
        <f t="shared" si="7"/>
        <v>1609.1581129538754</v>
      </c>
      <c r="L56" s="2"/>
      <c r="M56" s="2"/>
      <c r="N56" s="2"/>
    </row>
    <row r="57" spans="1:14" ht="32.1" customHeight="1">
      <c r="A57" s="1" t="str">
        <f>A10</f>
        <v>Có tải giảm a</v>
      </c>
      <c r="B57" s="2">
        <f>B10*0.326072577431273</f>
        <v>3.0976894855970936</v>
      </c>
      <c r="C57" s="2">
        <v>0.33000947820757198</v>
      </c>
      <c r="D57" s="2">
        <f>B10*C57</f>
        <v>3.1350900429719339</v>
      </c>
      <c r="E57" s="2">
        <f>G10+F10*D57+0.5*E10*D57^2</f>
        <v>7.9875814855730032E-2</v>
      </c>
      <c r="F57" s="2">
        <f>F10+E10*D57</f>
        <v>-1.2307692307692309E-2</v>
      </c>
      <c r="G57" s="2">
        <f>D10*C10*(Tinh_toan_x2!E14*Tinh_toan_x2!E17+F57)</f>
        <v>24261.971076923077</v>
      </c>
      <c r="H57" s="2">
        <f>G57*Tinh_toan_x2!E12/(2*Tinh_toan_x2!E15*Tinh_toan_x2!E13)+D10*(Tinh_toan_x2!C47+Tinh_toan_x2!E52+Tinh_toan_x2!E53/Tinh_toan_x2!E13^2)*2*Tinh_toan_x2!E13/Tinh_toan_x2!E12*F57</f>
        <v>31.207108173076922</v>
      </c>
      <c r="I57" s="2">
        <f>H57*D10*E57*2*Tinh_toan_x2!E13/Tinh_toan_x2!E12</f>
        <v>1994.1545556923454</v>
      </c>
      <c r="J57" s="2">
        <f t="shared" si="6"/>
        <v>12318434.302537417</v>
      </c>
      <c r="K57" s="2">
        <f t="shared" si="7"/>
        <v>3016.7889895452154</v>
      </c>
      <c r="L57" s="2"/>
      <c r="M57" s="2"/>
      <c r="N57" s="2"/>
    </row>
    <row r="58" spans="1:14" ht="32.1" customHeight="1">
      <c r="A58" s="1" t="str">
        <f>A10</f>
        <v>Có tải giảm a</v>
      </c>
      <c r="B58" s="2">
        <f>B10*0.326072577431273</f>
        <v>3.0976894855970936</v>
      </c>
      <c r="C58" s="2">
        <v>0.66999052179242802</v>
      </c>
      <c r="D58" s="2">
        <f>B10*C58</f>
        <v>6.3649099570280665</v>
      </c>
      <c r="E58" s="2">
        <f>G10+F10*D58+0.5*E10*D58^2</f>
        <v>4.012418514426995E-2</v>
      </c>
      <c r="F58" s="2">
        <f>F10+E10*D58</f>
        <v>-1.2307692307692309E-2</v>
      </c>
      <c r="G58" s="2">
        <f>D10*C10*(Tinh_toan_x2!E14*Tinh_toan_x2!E17+F58)</f>
        <v>24261.971076923077</v>
      </c>
      <c r="H58" s="2">
        <f>G58*Tinh_toan_x2!E12/(2*Tinh_toan_x2!E15*Tinh_toan_x2!E13)+D10*(Tinh_toan_x2!C47+Tinh_toan_x2!E52+Tinh_toan_x2!E53/Tinh_toan_x2!E13^2)*2*Tinh_toan_x2!E13/Tinh_toan_x2!E12*F58</f>
        <v>31.207108173076922</v>
      </c>
      <c r="I58" s="2">
        <f>H58*D10*E58*2*Tinh_toan_x2!E13/Tinh_toan_x2!E12</f>
        <v>1001.7278289230386</v>
      </c>
      <c r="J58" s="2">
        <f t="shared" si="6"/>
        <v>3108403.2883925554</v>
      </c>
      <c r="K58" s="2">
        <f t="shared" si="7"/>
        <v>3016.7889895452154</v>
      </c>
      <c r="L58" s="2"/>
      <c r="M58" s="2"/>
      <c r="N58" s="2"/>
    </row>
    <row r="59" spans="1:14" ht="32.1" customHeight="1">
      <c r="A59" s="1" t="str">
        <f>A10</f>
        <v>Có tải giảm a</v>
      </c>
      <c r="B59" s="2">
        <f>B10*0.173927422568727</f>
        <v>1.6523105144029067</v>
      </c>
      <c r="C59" s="2">
        <v>0.93056815579702601</v>
      </c>
      <c r="D59" s="2">
        <f>B10*C59</f>
        <v>8.8403974800717471</v>
      </c>
      <c r="E59" s="2">
        <f>G10+F10*D59+0.5*E10*D59^2</f>
        <v>9.6566463991169527E-3</v>
      </c>
      <c r="F59" s="2">
        <f>F10+E10*D59</f>
        <v>-1.2307692307692309E-2</v>
      </c>
      <c r="G59" s="2">
        <f>D10*C10*(Tinh_toan_x2!E14*Tinh_toan_x2!E17+F59)</f>
        <v>24261.971076923077</v>
      </c>
      <c r="H59" s="2">
        <f>G59*Tinh_toan_x2!E12/(2*Tinh_toan_x2!E15*Tinh_toan_x2!E13)+D10*(Tinh_toan_x2!C47+Tinh_toan_x2!E52+Tinh_toan_x2!E53/Tinh_toan_x2!E13^2)*2*Tinh_toan_x2!E13/Tinh_toan_x2!E12*F59</f>
        <v>31.207108173076922</v>
      </c>
      <c r="I59" s="2">
        <f>H59*D10*E59*2*Tinh_toan_x2!E13/Tinh_toan_x2!E12</f>
        <v>241.08480701311717</v>
      </c>
      <c r="J59" s="2">
        <f t="shared" si="6"/>
        <v>96035.400335215469</v>
      </c>
      <c r="K59" s="2">
        <f t="shared" si="7"/>
        <v>1609.1581129538754</v>
      </c>
      <c r="L59" s="2"/>
      <c r="M59" s="2"/>
      <c r="N59" s="2"/>
    </row>
    <row r="60" spans="1:14" ht="32.1" customHeight="1">
      <c r="A60" s="1" t="str">
        <f>A11</f>
        <v>Có tải giảm j+</v>
      </c>
      <c r="B60" s="2">
        <f>B11*0.173927422568727</f>
        <v>4.3481855642181752E-2</v>
      </c>
      <c r="C60" s="2">
        <v>6.94318442029737E-2</v>
      </c>
      <c r="D60" s="2">
        <f>B11*C60</f>
        <v>1.7357961050743425E-2</v>
      </c>
      <c r="E60" s="2">
        <f>G11+F11*D60+0.5*E11*D60^2</f>
        <v>1.332241680897651E-3</v>
      </c>
      <c r="F60" s="2">
        <f>F11+E11*D60</f>
        <v>-1.1453146532886479E-2</v>
      </c>
      <c r="G60" s="2">
        <f>D11*C11*(Tinh_toan_x2!E14*Tinh_toan_x2!E17+F60)</f>
        <v>24272.605044544765</v>
      </c>
      <c r="H60" s="2">
        <f>G60*Tinh_toan_x2!E12/(2*Tinh_toan_x2!E15*Tinh_toan_x2!E13)+D11*(Tinh_toan_x2!C47+Tinh_toan_x2!E52+Tinh_toan_x2!E53/Tinh_toan_x2!E13^2)*2*Tinh_toan_x2!E13/Tinh_toan_x2!E12*F60</f>
        <v>31.247616313258273</v>
      </c>
      <c r="I60" s="2">
        <f>H60*D11*E60*2*Tinh_toan_x2!E13/Tinh_toan_x2!E12</f>
        <v>33.303501504976055</v>
      </c>
      <c r="J60" s="2">
        <f t="shared" si="6"/>
        <v>48.226735414967507</v>
      </c>
      <c r="K60" s="2">
        <f t="shared" si="7"/>
        <v>42.456271952455396</v>
      </c>
      <c r="L60" s="2"/>
      <c r="M60" s="2"/>
      <c r="N60" s="2"/>
    </row>
    <row r="61" spans="1:14" ht="32.1" customHeight="1">
      <c r="A61" s="1" t="str">
        <f>A11</f>
        <v>Có tải giảm j+</v>
      </c>
      <c r="B61" s="2">
        <f>B11*0.326072577431273</f>
        <v>8.1518144357818248E-2</v>
      </c>
      <c r="C61" s="2">
        <v>0.33000947820757198</v>
      </c>
      <c r="D61" s="2">
        <f>B11*C61</f>
        <v>8.2502369551892996E-2</v>
      </c>
      <c r="E61" s="2">
        <f>G11+F11*D61+0.5*E11*D61^2</f>
        <v>6.9059584506413012E-4</v>
      </c>
      <c r="F61" s="2">
        <f>F11+E11*D61</f>
        <v>-8.2460371912914231E-3</v>
      </c>
      <c r="G61" s="2">
        <f>D11*C11*(Tinh_toan_x2!E14*Tinh_toan_x2!E17+F61)</f>
        <v>24312.514313191572</v>
      </c>
      <c r="H61" s="2">
        <f>G61*Tinh_toan_x2!E12/(2*Tinh_toan_x2!E15*Tinh_toan_x2!E13)+D11*(Tinh_toan_x2!C47+Tinh_toan_x2!E52+Tinh_toan_x2!E53/Tinh_toan_x2!E13^2)*2*Tinh_toan_x2!E13/Tinh_toan_x2!E12*F61</f>
        <v>31.39964331826657</v>
      </c>
      <c r="I61" s="2">
        <f>H61*D11*E61*2*Tinh_toan_x2!E13/Tinh_toan_x2!E12</f>
        <v>17.347570569672456</v>
      </c>
      <c r="J61" s="2">
        <f t="shared" si="6"/>
        <v>24.531924011052631</v>
      </c>
      <c r="K61" s="2">
        <f t="shared" si="7"/>
        <v>80.371803646530736</v>
      </c>
      <c r="L61" s="2"/>
      <c r="M61" s="2"/>
      <c r="N61" s="2"/>
    </row>
    <row r="62" spans="1:14" ht="32.1" customHeight="1">
      <c r="A62" s="1" t="str">
        <f>A11</f>
        <v>Có tải giảm j+</v>
      </c>
      <c r="B62" s="2">
        <f>B11*0.326072577431273</f>
        <v>8.1518144357818248E-2</v>
      </c>
      <c r="C62" s="2">
        <v>0.66999052179242802</v>
      </c>
      <c r="D62" s="2">
        <f>B11*C62</f>
        <v>0.167497630448107</v>
      </c>
      <c r="E62" s="2">
        <f>G11+F11*D62+0.5*E11*D62^2</f>
        <v>1.675480857028129E-4</v>
      </c>
      <c r="F62" s="2">
        <f>F11+E11*D62</f>
        <v>-4.0616551164008863E-3</v>
      </c>
      <c r="G62" s="2">
        <f>D11*C11*(Tinh_toan_x2!E14*Tinh_toan_x2!E17+F62)</f>
        <v>24364.584763731513</v>
      </c>
      <c r="H62" s="2">
        <f>G62*Tinh_toan_x2!E12/(2*Tinh_toan_x2!E15*Tinh_toan_x2!E13)+D11*(Tinh_toan_x2!C47+Tinh_toan_x2!E52+Tinh_toan_x2!E53/Tinh_toan_x2!E13^2)*2*Tinh_toan_x2!E13/Tinh_toan_x2!E12*F62</f>
        <v>31.597996104810367</v>
      </c>
      <c r="I62" s="2">
        <f>H62*D11*E62*2*Tinh_toan_x2!E13/Tinh_toan_x2!E12</f>
        <v>4.2353470075247328</v>
      </c>
      <c r="J62" s="2">
        <f t="shared" si="6"/>
        <v>1.4622858648143124</v>
      </c>
      <c r="K62" s="2">
        <f t="shared" si="7"/>
        <v>81.390434596030616</v>
      </c>
      <c r="L62" s="2"/>
      <c r="M62" s="2"/>
      <c r="N62" s="2"/>
    </row>
    <row r="63" spans="1:14" ht="32.1" customHeight="1">
      <c r="A63" s="1" t="str">
        <f>A11</f>
        <v>Có tải giảm j+</v>
      </c>
      <c r="B63" s="2">
        <f>B11*0.173927422568727</f>
        <v>4.3481855642181752E-2</v>
      </c>
      <c r="C63" s="2">
        <v>0.93056815579702601</v>
      </c>
      <c r="D63" s="2">
        <f>B11*C63</f>
        <v>0.2326420389492565</v>
      </c>
      <c r="E63" s="2">
        <f>G11+F11*D63+0.5*E11*D63^2</f>
        <v>7.4165861375702271E-6</v>
      </c>
      <c r="F63" s="2">
        <f>F11+E11*D63</f>
        <v>-8.5454577480583403E-4</v>
      </c>
      <c r="G63" s="2">
        <f>D11*C11*(Tinh_toan_x2!E14*Tinh_toan_x2!E17+F63)</f>
        <v>24404.494032378316</v>
      </c>
      <c r="H63" s="2">
        <f>G63*Tinh_toan_x2!E12/(2*Tinh_toan_x2!E15*Tinh_toan_x2!E13)+D11*(Tinh_toan_x2!C47+Tinh_toan_x2!E52+Tinh_toan_x2!E53/Tinh_toan_x2!E13^2)*2*Tinh_toan_x2!E13/Tinh_toan_x2!E12*F63</f>
        <v>31.750023109818656</v>
      </c>
      <c r="I63" s="2">
        <f>H63*D11*E63*2*Tinh_toan_x2!E13/Tinh_toan_x2!E12</f>
        <v>0.18838142501105232</v>
      </c>
      <c r="J63" s="2">
        <f t="shared" si="6"/>
        <v>1.5430650170698424E-3</v>
      </c>
      <c r="K63" s="2">
        <f t="shared" si="7"/>
        <v>43.832491911790278</v>
      </c>
      <c r="L63" s="2"/>
      <c r="M63" s="2"/>
      <c r="N63" s="2"/>
    </row>
    <row r="64" spans="1:14" ht="32.1" customHeight="1">
      <c r="A64" s="1" t="str">
        <f>A12</f>
        <v>Nghỉ</v>
      </c>
      <c r="B64" s="2">
        <f>B12*0.173927422568727</f>
        <v>5.2178226770618101</v>
      </c>
      <c r="C64" s="2">
        <v>6.94318442029737E-2</v>
      </c>
      <c r="D64" s="2">
        <f>B12*C64</f>
        <v>2.0829553260892109</v>
      </c>
      <c r="E64" s="2">
        <f>G12+F12*D64+0.5*E12*D64^2</f>
        <v>0</v>
      </c>
      <c r="F64" s="2">
        <f>F12+E12*D64</f>
        <v>0</v>
      </c>
      <c r="G64" s="2">
        <f>D12*C12*(Tinh_toan_x2!E14*Tinh_toan_x2!E17+F64)</f>
        <v>0</v>
      </c>
      <c r="H64" s="2">
        <f>G64*Tinh_toan_x2!E12/(2*Tinh_toan_x2!E15*Tinh_toan_x2!E13)+D12*(Tinh_toan_x2!C47+Tinh_toan_x2!E52+Tinh_toan_x2!E53/Tinh_toan_x2!E13^2)*2*Tinh_toan_x2!E13/Tinh_toan_x2!E12*F64</f>
        <v>0</v>
      </c>
      <c r="I64" s="2">
        <f>H64*D12*E64*2*Tinh_toan_x2!E13/Tinh_toan_x2!E12</f>
        <v>0</v>
      </c>
      <c r="J64" s="2">
        <f t="shared" si="6"/>
        <v>0</v>
      </c>
      <c r="K64" s="2">
        <f t="shared" si="7"/>
        <v>0</v>
      </c>
      <c r="L64" s="2"/>
      <c r="M64" s="2"/>
      <c r="N64" s="2"/>
    </row>
    <row r="65" spans="1:14" ht="32.1" customHeight="1">
      <c r="A65" s="1" t="str">
        <f>A12</f>
        <v>Nghỉ</v>
      </c>
      <c r="B65" s="2">
        <f>B12*0.326072577431273</f>
        <v>9.782177322938189</v>
      </c>
      <c r="C65" s="2">
        <v>0.33000947820757198</v>
      </c>
      <c r="D65" s="2">
        <f>B12*C65</f>
        <v>9.9002843462271599</v>
      </c>
      <c r="E65" s="2">
        <f>G12+F12*D65+0.5*E12*D65^2</f>
        <v>0</v>
      </c>
      <c r="F65" s="2">
        <f>F12+E12*D65</f>
        <v>0</v>
      </c>
      <c r="G65" s="2">
        <f>D12*C12*(Tinh_toan_x2!E14*Tinh_toan_x2!E17+F65)</f>
        <v>0</v>
      </c>
      <c r="H65" s="2">
        <f>G65*Tinh_toan_x2!E12/(2*Tinh_toan_x2!E15*Tinh_toan_x2!E13)+D12*(Tinh_toan_x2!C47+Tinh_toan_x2!E52+Tinh_toan_x2!E53/Tinh_toan_x2!E13^2)*2*Tinh_toan_x2!E13/Tinh_toan_x2!E12*F65</f>
        <v>0</v>
      </c>
      <c r="I65" s="2">
        <f>H65*D12*E65*2*Tinh_toan_x2!E13/Tinh_toan_x2!E12</f>
        <v>0</v>
      </c>
      <c r="J65" s="2">
        <f t="shared" si="6"/>
        <v>0</v>
      </c>
      <c r="K65" s="2">
        <f t="shared" si="7"/>
        <v>0</v>
      </c>
      <c r="L65" s="2"/>
      <c r="M65" s="2"/>
      <c r="N65" s="2"/>
    </row>
    <row r="66" spans="1:14" ht="32.1" customHeight="1">
      <c r="A66" s="1" t="str">
        <f>A12</f>
        <v>Nghỉ</v>
      </c>
      <c r="B66" s="2">
        <f>B12*0.326072577431273</f>
        <v>9.782177322938189</v>
      </c>
      <c r="C66" s="2">
        <v>0.66999052179242802</v>
      </c>
      <c r="D66" s="2">
        <f>B12*C66</f>
        <v>20.09971565377284</v>
      </c>
      <c r="E66" s="2">
        <f>G12+F12*D66+0.5*E12*D66^2</f>
        <v>0</v>
      </c>
      <c r="F66" s="2">
        <f>F12+E12*D66</f>
        <v>0</v>
      </c>
      <c r="G66" s="2">
        <f>D12*C12*(Tinh_toan_x2!E14*Tinh_toan_x2!E17+F66)</f>
        <v>0</v>
      </c>
      <c r="H66" s="2">
        <f>G66*Tinh_toan_x2!E12/(2*Tinh_toan_x2!E15*Tinh_toan_x2!E13)+D12*(Tinh_toan_x2!C47+Tinh_toan_x2!E52+Tinh_toan_x2!E53/Tinh_toan_x2!E13^2)*2*Tinh_toan_x2!E13/Tinh_toan_x2!E12*F66</f>
        <v>0</v>
      </c>
      <c r="I66" s="2">
        <f>H66*D12*E66*2*Tinh_toan_x2!E13/Tinh_toan_x2!E12</f>
        <v>0</v>
      </c>
      <c r="J66" s="2">
        <f t="shared" si="6"/>
        <v>0</v>
      </c>
      <c r="K66" s="2">
        <f t="shared" si="7"/>
        <v>0</v>
      </c>
      <c r="L66" s="2"/>
      <c r="M66" s="2"/>
      <c r="N66" s="2"/>
    </row>
    <row r="67" spans="1:14" ht="32.1" customHeight="1">
      <c r="A67" s="1" t="str">
        <f>A12</f>
        <v>Nghỉ</v>
      </c>
      <c r="B67" s="2">
        <f>B12*0.173927422568727</f>
        <v>5.2178226770618101</v>
      </c>
      <c r="C67" s="2">
        <v>0.93056815579702601</v>
      </c>
      <c r="D67" s="2">
        <f>B12*C67</f>
        <v>27.91704467391078</v>
      </c>
      <c r="E67" s="2">
        <f>G12+F12*D67+0.5*E12*D67^2</f>
        <v>0</v>
      </c>
      <c r="F67" s="2">
        <f>F12+E12*D67</f>
        <v>0</v>
      </c>
      <c r="G67" s="2">
        <f>D12*C12*(Tinh_toan_x2!E14*Tinh_toan_x2!E17+F67)</f>
        <v>0</v>
      </c>
      <c r="H67" s="2">
        <f>G67*Tinh_toan_x2!E12/(2*Tinh_toan_x2!E15*Tinh_toan_x2!E13)+D12*(Tinh_toan_x2!C47+Tinh_toan_x2!E52+Tinh_toan_x2!E53/Tinh_toan_x2!E13^2)*2*Tinh_toan_x2!E13/Tinh_toan_x2!E12*F67</f>
        <v>0</v>
      </c>
      <c r="I67" s="2">
        <f>H67*D12*E67*2*Tinh_toan_x2!E13/Tinh_toan_x2!E12</f>
        <v>0</v>
      </c>
      <c r="J67" s="2">
        <f t="shared" si="6"/>
        <v>0</v>
      </c>
      <c r="K67" s="2">
        <f t="shared" si="7"/>
        <v>0</v>
      </c>
      <c r="L67" s="2"/>
      <c r="M67" s="2"/>
      <c r="N67" s="2"/>
    </row>
    <row r="68" spans="1:14" ht="32.1" customHeight="1">
      <c r="A68" s="1" t="str">
        <f>A13</f>
        <v>Không tải tăng j+</v>
      </c>
      <c r="B68" s="2">
        <f>B13*0.173927422568727</f>
        <v>4.3481855642181752E-2</v>
      </c>
      <c r="C68" s="2">
        <v>6.94318442029737E-2</v>
      </c>
      <c r="D68" s="2">
        <f>B13*C68</f>
        <v>1.7357961050743425E-2</v>
      </c>
      <c r="E68" s="2">
        <f>G13+F13*D68+0.5*E13*D68^2</f>
        <v>4.1320979909365826E-5</v>
      </c>
      <c r="F68" s="2">
        <f>F13+E13*D68</f>
        <v>4.761040745346768E-3</v>
      </c>
      <c r="G68" s="2">
        <f>D13*C13*(Tinh_toan_x2!E14*Tinh_toan_x2!E17+F68)</f>
        <v>-436.620951045467</v>
      </c>
      <c r="H68" s="2">
        <f>G68*Tinh_toan_x2!E12/(2*Tinh_toan_x2!E15*Tinh_toan_x2!E13)+D13*(Tinh_toan_x2!C47+Tinh_toan_x2!E52+Tinh_toan_x2!E53/Tinh_toan_x2!E13^2)*2*Tinh_toan_x2!E13/Tinh_toan_x2!E12*F68</f>
        <v>-0.71706133459527099</v>
      </c>
      <c r="I68" s="2">
        <f>H68*D13*E68*2*Tinh_toan_x2!E13/Tinh_toan_x2!E12</f>
        <v>2.3703741600475392E-2</v>
      </c>
      <c r="J68" s="2">
        <f t="shared" ref="J68:J99" si="8">I68^2*B68</f>
        <v>2.4431035692469088E-5</v>
      </c>
      <c r="K68" s="2">
        <f t="shared" ref="K68:K95" si="9">H68^2*B68</f>
        <v>2.2357368243662398E-2</v>
      </c>
      <c r="L68" s="2"/>
      <c r="M68" s="2"/>
      <c r="N68" s="2"/>
    </row>
    <row r="69" spans="1:14" ht="32.1" customHeight="1">
      <c r="A69" s="1" t="str">
        <f>A13</f>
        <v>Không tải tăng j+</v>
      </c>
      <c r="B69" s="2">
        <f>B13*0.326072577431273</f>
        <v>8.1518144357818248E-2</v>
      </c>
      <c r="C69" s="2">
        <v>0.33000947820757198</v>
      </c>
      <c r="D69" s="2">
        <f>B13*C69</f>
        <v>8.2502369551892996E-2</v>
      </c>
      <c r="E69" s="2">
        <f>G13+F13*D69+0.5*E13*D69^2</f>
        <v>9.3348219177286237E-4</v>
      </c>
      <c r="F69" s="2">
        <f>F13+E13*D69</f>
        <v>2.2629221362804937E-2</v>
      </c>
      <c r="G69" s="2">
        <f>D13*C13*(Tinh_toan_x2!E14*Tinh_toan_x2!E17+F69)</f>
        <v>-440.58768714254273</v>
      </c>
      <c r="H69" s="2">
        <f>G69*Tinh_toan_x2!E12/(2*Tinh_toan_x2!E15*Tinh_toan_x2!E13)+D13*(Tinh_toan_x2!C47+Tinh_toan_x2!E52+Tinh_toan_x2!E53/Tinh_toan_x2!E13^2)*2*Tinh_toan_x2!E13/Tinh_toan_x2!E12*F69</f>
        <v>-1.2797135908196999</v>
      </c>
      <c r="I69" s="2">
        <f>H69*D13*E69*2*Tinh_toan_x2!E13/Tinh_toan_x2!E12</f>
        <v>0.95567187807991483</v>
      </c>
      <c r="J69" s="2">
        <f t="shared" si="8"/>
        <v>7.4451233592603347E-2</v>
      </c>
      <c r="K69" s="2">
        <f t="shared" si="9"/>
        <v>0.13349956468784355</v>
      </c>
      <c r="L69" s="2"/>
      <c r="M69" s="2"/>
      <c r="N69" s="2"/>
    </row>
    <row r="70" spans="1:14" ht="32.1" customHeight="1">
      <c r="A70" s="1" t="str">
        <f>A13</f>
        <v>Không tải tăng j+</v>
      </c>
      <c r="B70" s="2">
        <f>B13*0.326072577431273</f>
        <v>8.1518144357818248E-2</v>
      </c>
      <c r="C70" s="2">
        <v>0.66999052179242802</v>
      </c>
      <c r="D70" s="2">
        <f>B13*C70</f>
        <v>0.167497630448107</v>
      </c>
      <c r="E70" s="2">
        <f>G13+F13*D70+0.5*E13*D70^2</f>
        <v>3.8476054225001998E-3</v>
      </c>
      <c r="F70" s="2">
        <f>F13+E13*D70</f>
        <v>4.5942207208623638E-2</v>
      </c>
      <c r="G70" s="2">
        <f>D13*C13*(Tinh_toan_x2!E14*Tinh_toan_x2!E17+F70)</f>
        <v>-445.76317000031452</v>
      </c>
      <c r="H70" s="2">
        <f>G70*Tinh_toan_x2!E12/(2*Tinh_toan_x2!E15*Tinh_toan_x2!E13)+D13*(Tinh_toan_x2!C47+Tinh_toan_x2!E52+Tinh_toan_x2!E53/Tinh_toan_x2!E13^2)*2*Tinh_toan_x2!E13/Tinh_toan_x2!E12*F70</f>
        <v>-2.0138176591803001</v>
      </c>
      <c r="I70" s="2">
        <f>H70*D13*E70*2*Tinh_toan_x2!E13/Tinh_toan_x2!E12</f>
        <v>6.198700596311026</v>
      </c>
      <c r="J70" s="2">
        <f t="shared" si="8"/>
        <v>3.1322441370328793</v>
      </c>
      <c r="K70" s="2">
        <f t="shared" si="9"/>
        <v>0.33059370124649656</v>
      </c>
      <c r="L70" s="2"/>
      <c r="M70" s="2"/>
      <c r="N70" s="2"/>
    </row>
    <row r="71" spans="1:14" ht="32.1" customHeight="1">
      <c r="A71" s="1" t="str">
        <f>A13</f>
        <v>Không tải tăng j+</v>
      </c>
      <c r="B71" s="2">
        <f>B13*0.173927422568727</f>
        <v>4.3481855642181752E-2</v>
      </c>
      <c r="C71" s="2">
        <v>0.93056815579702601</v>
      </c>
      <c r="D71" s="2">
        <f>B13*C71</f>
        <v>0.2326420389492565</v>
      </c>
      <c r="E71" s="2">
        <f>G13+F13*D71+0.5*E13*D71^2</f>
        <v>7.422489365001241E-3</v>
      </c>
      <c r="F71" s="2">
        <f>F13+E13*D71</f>
        <v>6.3810387826081783E-2</v>
      </c>
      <c r="G71" s="2">
        <f>D13*C13*(Tinh_toan_x2!E14*Tinh_toan_x2!E17+F71)</f>
        <v>-449.72990609739014</v>
      </c>
      <c r="H71" s="2">
        <f>G71*Tinh_toan_x2!E12/(2*Tinh_toan_x2!E15*Tinh_toan_x2!E13)+D13*(Tinh_toan_x2!C47+Tinh_toan_x2!E52+Tinh_toan_x2!E53/Tinh_toan_x2!E13^2)*2*Tinh_toan_x2!E13/Tinh_toan_x2!E12*F71</f>
        <v>-2.5764699154047284</v>
      </c>
      <c r="I71" s="2">
        <f>H71*D13*E71*2*Tinh_toan_x2!E13/Tinh_toan_x2!E12</f>
        <v>15.299056437069794</v>
      </c>
      <c r="J71" s="2">
        <f t="shared" si="8"/>
        <v>10.177412173256812</v>
      </c>
      <c r="K71" s="2">
        <f t="shared" si="9"/>
        <v>0.28864113346115744</v>
      </c>
      <c r="L71" s="2"/>
      <c r="M71" s="2"/>
      <c r="N71" s="2"/>
    </row>
    <row r="72" spans="1:14" ht="32.1" customHeight="1">
      <c r="A72" s="1" t="str">
        <f>A14</f>
        <v>Không tải tăng a</v>
      </c>
      <c r="B72" s="2">
        <f>B14*0.173927422568727</f>
        <v>0.26089113385309048</v>
      </c>
      <c r="C72" s="2">
        <v>6.94318442029737E-2</v>
      </c>
      <c r="D72" s="2">
        <f>B14*C72</f>
        <v>0.10414776630446054</v>
      </c>
      <c r="E72" s="2">
        <f>G14+F14*D72+0.5*E14*D72^2</f>
        <v>1.5712989689448724E-2</v>
      </c>
      <c r="F72" s="2">
        <f>F14+E14*D72</f>
        <v>6.8571428571428575E-2</v>
      </c>
      <c r="G72" s="2">
        <f>D14*C14*(Tinh_toan_x2!E14*Tinh_toan_x2!E17+F72)</f>
        <v>-450.78685714285717</v>
      </c>
      <c r="H72" s="2">
        <f>G72*Tinh_toan_x2!E12/(2*Tinh_toan_x2!E15*Tinh_toan_x2!E13)+D14*(Tinh_toan_x2!C47+Tinh_toan_x2!E52+Tinh_toan_x2!E53/Tinh_toan_x2!E13^2)*2*Tinh_toan_x2!E13/Tinh_toan_x2!E12*F72</f>
        <v>-2.7263906250000005</v>
      </c>
      <c r="I72" s="2">
        <f>H72*D14*E72*2*Tinh_toan_x2!E13/Tinh_toan_x2!E12</f>
        <v>34.271798224027741</v>
      </c>
      <c r="J72" s="2">
        <f t="shared" si="8"/>
        <v>306.43128666294962</v>
      </c>
      <c r="K72" s="2">
        <f t="shared" si="9"/>
        <v>1.9392574997839445</v>
      </c>
      <c r="L72" s="2"/>
      <c r="M72" s="2"/>
      <c r="N72" s="2"/>
    </row>
    <row r="73" spans="1:14" ht="32.1" customHeight="1">
      <c r="A73" s="1" t="str">
        <f>A14</f>
        <v>Không tải tăng a</v>
      </c>
      <c r="B73" s="2">
        <f>B14*0.326072577431273</f>
        <v>0.48910886614690952</v>
      </c>
      <c r="C73" s="2">
        <v>0.33000947820757198</v>
      </c>
      <c r="D73" s="2">
        <f>B14*C73</f>
        <v>0.49501421731135797</v>
      </c>
      <c r="E73" s="2">
        <f>G14+F14*D73+0.5*E14*D73^2</f>
        <v>4.2515260615635979E-2</v>
      </c>
      <c r="F73" s="2">
        <f>F14+E14*D73</f>
        <v>6.8571428571428575E-2</v>
      </c>
      <c r="G73" s="2">
        <f>D14*C14*(Tinh_toan_x2!E14*Tinh_toan_x2!E17+F73)</f>
        <v>-450.78685714285717</v>
      </c>
      <c r="H73" s="2">
        <f>G73*Tinh_toan_x2!E12/(2*Tinh_toan_x2!E15*Tinh_toan_x2!E13)+D14*(Tinh_toan_x2!C47+Tinh_toan_x2!E52+Tinh_toan_x2!E53/Tinh_toan_x2!E13^2)*2*Tinh_toan_x2!E13/Tinh_toan_x2!E12*F73</f>
        <v>-2.7263906250000005</v>
      </c>
      <c r="I73" s="2">
        <f>H73*D14*E73*2*Tinh_toan_x2!E13/Tinh_toan_x2!E12</f>
        <v>92.730566369521355</v>
      </c>
      <c r="J73" s="2">
        <f t="shared" si="8"/>
        <v>4205.8265676930469</v>
      </c>
      <c r="K73" s="2">
        <f t="shared" si="9"/>
        <v>3.6356468802819757</v>
      </c>
      <c r="L73" s="2"/>
      <c r="M73" s="2"/>
      <c r="N73" s="2"/>
    </row>
    <row r="74" spans="1:14" ht="32.1" customHeight="1">
      <c r="A74" s="1" t="str">
        <f>A14</f>
        <v>Không tải tăng a</v>
      </c>
      <c r="B74" s="2">
        <f>B14*0.326072577431273</f>
        <v>0.48910886614690952</v>
      </c>
      <c r="C74" s="2">
        <v>0.66999052179242802</v>
      </c>
      <c r="D74" s="2">
        <f>B14*C74</f>
        <v>1.0049857826886419</v>
      </c>
      <c r="E74" s="2">
        <f>G14+F14*D74+0.5*E14*D74^2</f>
        <v>7.7484739384364024E-2</v>
      </c>
      <c r="F74" s="2">
        <f>F14+E14*D74</f>
        <v>6.8571428571428575E-2</v>
      </c>
      <c r="G74" s="2">
        <f>D14*C14*(Tinh_toan_x2!E14*Tinh_toan_x2!E17+F74)</f>
        <v>-450.78685714285717</v>
      </c>
      <c r="H74" s="2">
        <f>G74*Tinh_toan_x2!E12/(2*Tinh_toan_x2!E15*Tinh_toan_x2!E13)+D14*(Tinh_toan_x2!C47+Tinh_toan_x2!E52+Tinh_toan_x2!E53/Tinh_toan_x2!E13^2)*2*Tinh_toan_x2!E13/Tinh_toan_x2!E12*F74</f>
        <v>-2.7263906250000005</v>
      </c>
      <c r="I74" s="2">
        <f>H74*D14*E74*2*Tinh_toan_x2!E13/Tinh_toan_x2!E12</f>
        <v>169.00293363047871</v>
      </c>
      <c r="J74" s="2">
        <f t="shared" si="8"/>
        <v>13969.923314492116</v>
      </c>
      <c r="K74" s="2">
        <f t="shared" si="9"/>
        <v>3.6356468802819757</v>
      </c>
      <c r="L74" s="2"/>
      <c r="M74" s="2"/>
      <c r="N74" s="2"/>
    </row>
    <row r="75" spans="1:14" ht="32.1" customHeight="1">
      <c r="A75" s="1" t="str">
        <f>A14</f>
        <v>Không tải tăng a</v>
      </c>
      <c r="B75" s="2">
        <f>B14*0.173927422568727</f>
        <v>0.26089113385309048</v>
      </c>
      <c r="C75" s="2">
        <v>0.93056815579702601</v>
      </c>
      <c r="D75" s="2">
        <f>B14*C75</f>
        <v>1.395852233695539</v>
      </c>
      <c r="E75" s="2">
        <f>G14+F14*D75+0.5*E14*D75^2</f>
        <v>0.10428701031055125</v>
      </c>
      <c r="F75" s="2">
        <f>F14+E14*D75</f>
        <v>6.8571428571428575E-2</v>
      </c>
      <c r="G75" s="2">
        <f>D14*C14*(Tinh_toan_x2!E14*Tinh_toan_x2!E17+F75)</f>
        <v>-450.78685714285717</v>
      </c>
      <c r="H75" s="2">
        <f>G75*Tinh_toan_x2!E12/(2*Tinh_toan_x2!E15*Tinh_toan_x2!E13)+D14*(Tinh_toan_x2!C47+Tinh_toan_x2!E52+Tinh_toan_x2!E53/Tinh_toan_x2!E13^2)*2*Tinh_toan_x2!E13/Tinh_toan_x2!E12*F75</f>
        <v>-2.7263906250000005</v>
      </c>
      <c r="I75" s="2">
        <f>H75*D14*E75*2*Tinh_toan_x2!E13/Tinh_toan_x2!E12</f>
        <v>227.46170177597227</v>
      </c>
      <c r="J75" s="2">
        <f t="shared" si="8"/>
        <v>13498.200920620646</v>
      </c>
      <c r="K75" s="2">
        <f t="shared" si="9"/>
        <v>1.9392574997839445</v>
      </c>
      <c r="L75" s="2"/>
      <c r="M75" s="2"/>
      <c r="N75" s="2"/>
    </row>
    <row r="76" spans="1:14" ht="32.1" customHeight="1">
      <c r="A76" s="1" t="str">
        <f>A15</f>
        <v>Không tải tăng j-</v>
      </c>
      <c r="B76" s="2">
        <f>B15*0.173927422568727</f>
        <v>4.3481855642181752E-2</v>
      </c>
      <c r="C76" s="2">
        <v>6.94318442029737E-2</v>
      </c>
      <c r="D76" s="2">
        <f>B15*C76</f>
        <v>1.7357961050743425E-2</v>
      </c>
      <c r="E76" s="2">
        <f>G15+F15*D76+0.5*E15*D76^2</f>
        <v>0.11257751063499878</v>
      </c>
      <c r="F76" s="2">
        <f>F15+E15*D76</f>
        <v>6.381038782608181E-2</v>
      </c>
      <c r="G76" s="2">
        <f>D15*C15*(Tinh_toan_x2!E14*Tinh_toan_x2!E17+F76)</f>
        <v>-449.72990609739014</v>
      </c>
      <c r="H76" s="2">
        <f>G76*Tinh_toan_x2!E12/(2*Tinh_toan_x2!E15*Tinh_toan_x2!E13)+D15*(Tinh_toan_x2!C47+Tinh_toan_x2!E52+Tinh_toan_x2!E53/Tinh_toan_x2!E13^2)*2*Tinh_toan_x2!E13/Tinh_toan_x2!E12*F76</f>
        <v>-2.5764699154047292</v>
      </c>
      <c r="I76" s="2">
        <f>H76*D15*E76*2*Tinh_toan_x2!E13/Tinh_toan_x2!E12</f>
        <v>232.04205544178427</v>
      </c>
      <c r="J76" s="2">
        <f t="shared" si="8"/>
        <v>2341.2159679623824</v>
      </c>
      <c r="K76" s="2">
        <f t="shared" si="9"/>
        <v>0.28864113346115766</v>
      </c>
      <c r="L76" s="2"/>
      <c r="M76" s="2"/>
      <c r="N76" s="2"/>
    </row>
    <row r="77" spans="1:14" ht="32.1" customHeight="1">
      <c r="A77" s="1" t="str">
        <f>A15</f>
        <v>Không tải tăng j-</v>
      </c>
      <c r="B77" s="2">
        <f>B15*0.326072577431273</f>
        <v>8.1518144357818248E-2</v>
      </c>
      <c r="C77" s="2">
        <v>0.33000947820757198</v>
      </c>
      <c r="D77" s="2">
        <f>B15*C77</f>
        <v>8.2502369551892996E-2</v>
      </c>
      <c r="E77" s="2">
        <f>G15+F15*D77+0.5*E15*D77^2</f>
        <v>0.11615239457749982</v>
      </c>
      <c r="F77" s="2">
        <f>F15+E15*D77</f>
        <v>4.5942207208623638E-2</v>
      </c>
      <c r="G77" s="2">
        <f>D15*C15*(Tinh_toan_x2!E14*Tinh_toan_x2!E17+F77)</f>
        <v>-445.76317000031452</v>
      </c>
      <c r="H77" s="2">
        <f>G77*Tinh_toan_x2!E12/(2*Tinh_toan_x2!E15*Tinh_toan_x2!E13)+D15*(Tinh_toan_x2!C47+Tinh_toan_x2!E52+Tinh_toan_x2!E53/Tinh_toan_x2!E13^2)*2*Tinh_toan_x2!E13/Tinh_toan_x2!E12*F77</f>
        <v>-2.0138176591803001</v>
      </c>
      <c r="I77" s="2">
        <f>H77*D15*E77*2*Tinh_toan_x2!E13/Tinh_toan_x2!E12</f>
        <v>187.12779468499781</v>
      </c>
      <c r="J77" s="2">
        <f t="shared" si="8"/>
        <v>2854.505498367464</v>
      </c>
      <c r="K77" s="2">
        <f t="shared" si="9"/>
        <v>0.33059370124649656</v>
      </c>
      <c r="L77" s="2"/>
      <c r="M77" s="2"/>
      <c r="N77" s="2"/>
    </row>
    <row r="78" spans="1:14" ht="32.1" customHeight="1">
      <c r="A78" s="1" t="str">
        <f>A15</f>
        <v>Không tải tăng j-</v>
      </c>
      <c r="B78" s="2">
        <f>B15*0.326072577431273</f>
        <v>8.1518144357818248E-2</v>
      </c>
      <c r="C78" s="2">
        <v>0.66999052179242802</v>
      </c>
      <c r="D78" s="2">
        <f>B15*C78</f>
        <v>0.167497630448107</v>
      </c>
      <c r="E78" s="2">
        <f>G15+F15*D78+0.5*E15*D78^2</f>
        <v>0.11906651780822715</v>
      </c>
      <c r="F78" s="2">
        <f>F15+E15*D78</f>
        <v>2.2629221362804937E-2</v>
      </c>
      <c r="G78" s="2">
        <f>D15*C15*(Tinh_toan_x2!E14*Tinh_toan_x2!E17+F78)</f>
        <v>-440.58768714254273</v>
      </c>
      <c r="H78" s="2">
        <f>G78*Tinh_toan_x2!E12/(2*Tinh_toan_x2!E15*Tinh_toan_x2!E13)+D15*(Tinh_toan_x2!C47+Tinh_toan_x2!E52+Tinh_toan_x2!E53/Tinh_toan_x2!E13^2)*2*Tinh_toan_x2!E13/Tinh_toan_x2!E12*F78</f>
        <v>-1.2797135908196999</v>
      </c>
      <c r="I78" s="2">
        <f>H78*D15*E78*2*Tinh_toan_x2!E13/Tinh_toan_x2!E12</f>
        <v>121.89683284061128</v>
      </c>
      <c r="J78" s="2">
        <f t="shared" si="8"/>
        <v>1211.2648893814451</v>
      </c>
      <c r="K78" s="2">
        <f t="shared" si="9"/>
        <v>0.13349956468784355</v>
      </c>
      <c r="L78" s="2"/>
      <c r="M78" s="2"/>
      <c r="N78" s="2"/>
    </row>
    <row r="79" spans="1:14" ht="32.1" customHeight="1">
      <c r="A79" s="1" t="str">
        <f>A15</f>
        <v>Không tải tăng j-</v>
      </c>
      <c r="B79" s="2">
        <f>B15*0.173927422568727</f>
        <v>4.3481855642181752E-2</v>
      </c>
      <c r="C79" s="2">
        <v>0.93056815579702601</v>
      </c>
      <c r="D79" s="2">
        <f>B15*C79</f>
        <v>0.2326420389492565</v>
      </c>
      <c r="E79" s="2">
        <f>G15+F15*D79+0.5*E15*D79^2</f>
        <v>0.11995867902009065</v>
      </c>
      <c r="F79" s="2">
        <f>F15+E15*D79</f>
        <v>4.7610407453467923E-3</v>
      </c>
      <c r="G79" s="2">
        <f>D15*C15*(Tinh_toan_x2!E14*Tinh_toan_x2!E17+F79)</f>
        <v>-436.62095104546705</v>
      </c>
      <c r="H79" s="2">
        <f>G79*Tinh_toan_x2!E12/(2*Tinh_toan_x2!E15*Tinh_toan_x2!E13)+D15*(Tinh_toan_x2!C47+Tinh_toan_x2!E52+Tinh_toan_x2!E53/Tinh_toan_x2!E13^2)*2*Tinh_toan_x2!E13/Tinh_toan_x2!E12*F79</f>
        <v>-0.71706133459527188</v>
      </c>
      <c r="I79" s="2">
        <f>H79*D15*E79*2*Tinh_toan_x2!E13/Tinh_toan_x2!E12</f>
        <v>68.814184379545637</v>
      </c>
      <c r="J79" s="2">
        <f t="shared" si="8"/>
        <v>205.90363012791505</v>
      </c>
      <c r="K79" s="2">
        <f t="shared" si="9"/>
        <v>2.2357368243662457E-2</v>
      </c>
      <c r="L79" s="2"/>
      <c r="M79" s="2"/>
      <c r="N79" s="2"/>
    </row>
    <row r="80" spans="1:14" ht="32.1" customHeight="1">
      <c r="A80" s="1" t="str">
        <f>A16</f>
        <v>Không tải đều</v>
      </c>
      <c r="B80" s="2">
        <f>B16*0.173927422568727</f>
        <v>14.349012361919979</v>
      </c>
      <c r="C80" s="2">
        <v>6.94318442029737E-2</v>
      </c>
      <c r="D80" s="2">
        <f>B16*C80</f>
        <v>5.7281271467453303</v>
      </c>
      <c r="E80" s="2">
        <f>G16+F16*D80+0.5*E16*D80^2</f>
        <v>0.12000000000000001</v>
      </c>
      <c r="F80" s="2">
        <f>F16+E16*D80</f>
        <v>0</v>
      </c>
      <c r="G80" s="2">
        <f>D16*C16*(Tinh_toan_x2!E14*Tinh_toan_x2!E17+F80)</f>
        <v>-435.56400000000002</v>
      </c>
      <c r="H80" s="2">
        <f>G80*Tinh_toan_x2!E12/(2*Tinh_toan_x2!E15*Tinh_toan_x2!E13)+D16*(Tinh_toan_x2!C47+Tinh_toan_x2!E52+Tinh_toan_x2!E53/Tinh_toan_x2!E13^2)*2*Tinh_toan_x2!E13/Tinh_toan_x2!E12*F80</f>
        <v>-0.56714062500000006</v>
      </c>
      <c r="I80" s="2">
        <f>H80*D16*E80*2*Tinh_toan_x2!E13/Tinh_toan_x2!E12</f>
        <v>54.44550000000001</v>
      </c>
      <c r="J80" s="2">
        <f t="shared" si="8"/>
        <v>42534.956280210812</v>
      </c>
      <c r="K80" s="2">
        <f t="shared" si="9"/>
        <v>4.6153381380437075</v>
      </c>
      <c r="L80" s="2"/>
      <c r="M80" s="2"/>
      <c r="N80" s="2"/>
    </row>
    <row r="81" spans="1:14" ht="32.1" customHeight="1">
      <c r="A81" s="1" t="str">
        <f>A16</f>
        <v>Không tải đều</v>
      </c>
      <c r="B81" s="2">
        <f>B16*0.326072577431273</f>
        <v>26.900987638080021</v>
      </c>
      <c r="C81" s="2">
        <v>0.33000947820757198</v>
      </c>
      <c r="D81" s="2">
        <f>B16*C81</f>
        <v>27.225781952124688</v>
      </c>
      <c r="E81" s="2">
        <f>G16+F16*D81+0.5*E16*D81^2</f>
        <v>0.12000000000000001</v>
      </c>
      <c r="F81" s="2">
        <f>F16+E16*D81</f>
        <v>0</v>
      </c>
      <c r="G81" s="2">
        <f>D16*C16*(Tinh_toan_x2!E14*Tinh_toan_x2!E17+F81)</f>
        <v>-435.56400000000002</v>
      </c>
      <c r="H81" s="2">
        <f>G81*Tinh_toan_x2!E12/(2*Tinh_toan_x2!E15*Tinh_toan_x2!E13)+D16*(Tinh_toan_x2!C47+Tinh_toan_x2!E52+Tinh_toan_x2!E53/Tinh_toan_x2!E13^2)*2*Tinh_toan_x2!E13/Tinh_toan_x2!E12*F81</f>
        <v>-0.56714062500000006</v>
      </c>
      <c r="I81" s="2">
        <f>H81*D16*E81*2*Tinh_toan_x2!E13/Tinh_toan_x2!E12</f>
        <v>54.44550000000001</v>
      </c>
      <c r="J81" s="2">
        <f t="shared" si="8"/>
        <v>79742.933117601729</v>
      </c>
      <c r="K81" s="2">
        <f t="shared" si="9"/>
        <v>8.6526620136286585</v>
      </c>
      <c r="L81" s="2"/>
      <c r="M81" s="2"/>
      <c r="N81" s="2"/>
    </row>
    <row r="82" spans="1:14" ht="32.1" customHeight="1">
      <c r="A82" s="1" t="str">
        <f>A16</f>
        <v>Không tải đều</v>
      </c>
      <c r="B82" s="2">
        <f>B16*0.326072577431273</f>
        <v>26.900987638080021</v>
      </c>
      <c r="C82" s="2">
        <v>0.66999052179242802</v>
      </c>
      <c r="D82" s="2">
        <f>B16*C82</f>
        <v>55.274218047875308</v>
      </c>
      <c r="E82" s="2">
        <f>G16+F16*D82+0.5*E16*D82^2</f>
        <v>0.12000000000000001</v>
      </c>
      <c r="F82" s="2">
        <f>F16+E16*D82</f>
        <v>0</v>
      </c>
      <c r="G82" s="2">
        <f>D16*C16*(Tinh_toan_x2!E14*Tinh_toan_x2!E17+F82)</f>
        <v>-435.56400000000002</v>
      </c>
      <c r="H82" s="2">
        <f>G82*Tinh_toan_x2!E12/(2*Tinh_toan_x2!E15*Tinh_toan_x2!E13)+D16*(Tinh_toan_x2!C47+Tinh_toan_x2!E52+Tinh_toan_x2!E53/Tinh_toan_x2!E13^2)*2*Tinh_toan_x2!E13/Tinh_toan_x2!E12*F82</f>
        <v>-0.56714062500000006</v>
      </c>
      <c r="I82" s="2">
        <f>H82*D16*E82*2*Tinh_toan_x2!E13/Tinh_toan_x2!E12</f>
        <v>54.44550000000001</v>
      </c>
      <c r="J82" s="2">
        <f t="shared" si="8"/>
        <v>79742.933117601729</v>
      </c>
      <c r="K82" s="2">
        <f t="shared" si="9"/>
        <v>8.6526620136286585</v>
      </c>
      <c r="L82" s="2"/>
      <c r="M82" s="2"/>
      <c r="N82" s="2"/>
    </row>
    <row r="83" spans="1:14" ht="32.1" customHeight="1">
      <c r="A83" s="1" t="str">
        <f>A16</f>
        <v>Không tải đều</v>
      </c>
      <c r="B83" s="2">
        <f>B16*0.173927422568727</f>
        <v>14.349012361919979</v>
      </c>
      <c r="C83" s="2">
        <v>0.93056815579702601</v>
      </c>
      <c r="D83" s="2">
        <f>B16*C83</f>
        <v>76.771872853254649</v>
      </c>
      <c r="E83" s="2">
        <f>G16+F16*D83+0.5*E16*D83^2</f>
        <v>0.12000000000000001</v>
      </c>
      <c r="F83" s="2">
        <f>F16+E16*D83</f>
        <v>0</v>
      </c>
      <c r="G83" s="2">
        <f>D16*C16*(Tinh_toan_x2!E14*Tinh_toan_x2!E17+F83)</f>
        <v>-435.56400000000002</v>
      </c>
      <c r="H83" s="2">
        <f>G83*Tinh_toan_x2!E12/(2*Tinh_toan_x2!E15*Tinh_toan_x2!E13)+D16*(Tinh_toan_x2!C47+Tinh_toan_x2!E52+Tinh_toan_x2!E53/Tinh_toan_x2!E13^2)*2*Tinh_toan_x2!E13/Tinh_toan_x2!E12*F83</f>
        <v>-0.56714062500000006</v>
      </c>
      <c r="I83" s="2">
        <f>H83*D16*E83*2*Tinh_toan_x2!E13/Tinh_toan_x2!E12</f>
        <v>54.44550000000001</v>
      </c>
      <c r="J83" s="2">
        <f t="shared" si="8"/>
        <v>42534.956280210812</v>
      </c>
      <c r="K83" s="2">
        <f t="shared" si="9"/>
        <v>4.6153381380437075</v>
      </c>
      <c r="L83" s="2"/>
      <c r="M83" s="2"/>
      <c r="N83" s="2"/>
    </row>
    <row r="84" spans="1:14" ht="32.1" customHeight="1">
      <c r="A84" s="1" t="str">
        <f>A17</f>
        <v>Không tải giảm j-</v>
      </c>
      <c r="B84" s="2">
        <f>B17*0.173927422568727</f>
        <v>4.3481855642181752E-2</v>
      </c>
      <c r="C84" s="2">
        <v>6.94318442029737E-2</v>
      </c>
      <c r="D84" s="2">
        <f>B17*C84</f>
        <v>1.7357961050743425E-2</v>
      </c>
      <c r="E84" s="2">
        <f>G17+F17*D84+0.5*E17*D84^2</f>
        <v>0.11998477648108603</v>
      </c>
      <c r="F84" s="2">
        <f>F17+E17*D84</f>
        <v>-1.7540676430224938E-3</v>
      </c>
      <c r="G84" s="2">
        <f>D17*C17*(Tinh_toan_x2!E14*Tinh_toan_x2!E17+F84)</f>
        <v>-435.17459698324905</v>
      </c>
      <c r="H84" s="2">
        <f>G84*Tinh_toan_x2!E12/(2*Tinh_toan_x2!E15*Tinh_toan_x2!E13)+D17*(Tinh_toan_x2!C47+Tinh_toan_x2!E52+Tinh_toan_x2!E53/Tinh_toan_x2!E13^2)*2*Tinh_toan_x2!E13/Tinh_toan_x2!E12*F84</f>
        <v>-0.51190667935963707</v>
      </c>
      <c r="I84" s="2">
        <f>H84*D17*E84*2*Tinh_toan_x2!E13/Tinh_toan_x2!E12</f>
        <v>49.136806801712822</v>
      </c>
      <c r="J84" s="2">
        <f t="shared" si="8"/>
        <v>104.98371334076869</v>
      </c>
      <c r="K84" s="2">
        <f t="shared" si="9"/>
        <v>1.1394352803412951E-2</v>
      </c>
      <c r="L84" s="2"/>
      <c r="M84" s="2"/>
      <c r="N84" s="2"/>
    </row>
    <row r="85" spans="1:14" ht="32.1" customHeight="1">
      <c r="A85" s="1" t="str">
        <f>A17</f>
        <v>Không tải giảm j-</v>
      </c>
      <c r="B85" s="2">
        <f>B17*0.326072577431273</f>
        <v>8.1518144357818248E-2</v>
      </c>
      <c r="C85" s="2">
        <v>0.33000947820757198</v>
      </c>
      <c r="D85" s="2">
        <f>B17*C85</f>
        <v>8.2502369551892996E-2</v>
      </c>
      <c r="E85" s="2">
        <f>G17+F17*D85+0.5*E17*D85^2</f>
        <v>0.11965608550829422</v>
      </c>
      <c r="F85" s="2">
        <f>F17+E17*D85</f>
        <v>-8.3370815547176083E-3</v>
      </c>
      <c r="G85" s="2">
        <f>D17*C17*(Tinh_toan_x2!E14*Tinh_toan_x2!E17+F85)</f>
        <v>-433.71316789485269</v>
      </c>
      <c r="H85" s="2">
        <f>G85*Tinh_toan_x2!E12/(2*Tinh_toan_x2!E15*Tinh_toan_x2!E13)+D17*(Tinh_toan_x2!C47+Tinh_toan_x2!E52+Tinh_toan_x2!E53/Tinh_toan_x2!E13^2)*2*Tinh_toan_x2!E13/Tinh_toan_x2!E12*F85</f>
        <v>-0.30461374285590004</v>
      </c>
      <c r="I85" s="2">
        <f>H85*D17*E85*2*Tinh_toan_x2!E13/Tinh_toan_x2!E12</f>
        <v>29.159110449733699</v>
      </c>
      <c r="J85" s="2">
        <f t="shared" si="8"/>
        <v>69.311105668683425</v>
      </c>
      <c r="K85" s="2">
        <f t="shared" si="9"/>
        <v>7.5640304919159561E-3</v>
      </c>
      <c r="L85" s="2"/>
      <c r="M85" s="2"/>
      <c r="N85" s="2"/>
    </row>
    <row r="86" spans="1:14" ht="32.1" customHeight="1">
      <c r="A86" s="1" t="str">
        <f>A17</f>
        <v>Không tải giảm j-</v>
      </c>
      <c r="B86" s="2">
        <f>B17*0.326072577431273</f>
        <v>8.1518144357818248E-2</v>
      </c>
      <c r="C86" s="2">
        <v>0.66999052179242802</v>
      </c>
      <c r="D86" s="2">
        <f>B17*C86</f>
        <v>0.167497630448107</v>
      </c>
      <c r="E86" s="2">
        <f>G17+F17*D86+0.5*E17*D86^2</f>
        <v>0.11858246116013152</v>
      </c>
      <c r="F86" s="2">
        <f>F17+E17*D86</f>
        <v>-1.6926076340019237E-2</v>
      </c>
      <c r="G86" s="2">
        <f>D17*C17*(Tinh_toan_x2!E14*Tinh_toan_x2!E17+F86)</f>
        <v>-431.80641105251578</v>
      </c>
      <c r="H86" s="2">
        <f>G86*Tinh_toan_x2!E12/(2*Tinh_toan_x2!E15*Tinh_toan_x2!E13)+D17*(Tinh_toan_x2!C47+Tinh_toan_x2!E52+Tinh_toan_x2!E53/Tinh_toan_x2!E13^2)*2*Tinh_toan_x2!E13/Tinh_toan_x2!E12*F86</f>
        <v>-3.4154349249363003E-2</v>
      </c>
      <c r="I86" s="2">
        <f>H86*D17*E86*2*Tinh_toan_x2!E13/Tinh_toan_x2!E12</f>
        <v>3.2400854346497239</v>
      </c>
      <c r="J86" s="2">
        <f t="shared" si="8"/>
        <v>0.85579000259786886</v>
      </c>
      <c r="K86" s="2">
        <f t="shared" si="9"/>
        <v>9.5092510919296349E-5</v>
      </c>
      <c r="L86" s="2"/>
      <c r="M86" s="2"/>
      <c r="N86" s="2"/>
    </row>
    <row r="87" spans="1:14" ht="32.1" customHeight="1">
      <c r="A87" s="1" t="str">
        <f>A17</f>
        <v>Không tải giảm j-</v>
      </c>
      <c r="B87" s="2">
        <f>B17*0.173927422568727</f>
        <v>4.3481855642181752E-2</v>
      </c>
      <c r="C87" s="2">
        <v>0.93056815579702601</v>
      </c>
      <c r="D87" s="2">
        <f>B17*C87</f>
        <v>0.2326420389492565</v>
      </c>
      <c r="E87" s="2">
        <f>G17+F17*D87+0.5*E17*D87^2</f>
        <v>0.11726539865499955</v>
      </c>
      <c r="F87" s="2">
        <f>F17+E17*D87</f>
        <v>-2.3509090251714344E-2</v>
      </c>
      <c r="G87" s="2">
        <f>D17*C17*(Tinh_toan_x2!E14*Tinh_toan_x2!E17+F87)</f>
        <v>-430.34498196411948</v>
      </c>
      <c r="H87" s="2">
        <f>G87*Tinh_toan_x2!E12/(2*Tinh_toan_x2!E15*Tinh_toan_x2!E13)+D17*(Tinh_toan_x2!C47+Tinh_toan_x2!E52+Tinh_toan_x2!E53/Tinh_toan_x2!E13^2)*2*Tinh_toan_x2!E13/Tinh_toan_x2!E12*F87</f>
        <v>0.17313858725437359</v>
      </c>
      <c r="I87" s="2">
        <f>H87*D17*E87*2*Tinh_toan_x2!E13/Tinh_toan_x2!E12</f>
        <v>-16.242532365558034</v>
      </c>
      <c r="J87" s="2">
        <f t="shared" si="8"/>
        <v>11.47137696571302</v>
      </c>
      <c r="K87" s="2">
        <f t="shared" si="9"/>
        <v>1.3034542993679745E-3</v>
      </c>
      <c r="L87" s="2"/>
      <c r="M87" s="2"/>
      <c r="N87" s="2"/>
    </row>
    <row r="88" spans="1:14" ht="32.1" customHeight="1">
      <c r="A88" s="1" t="str">
        <f>A18</f>
        <v>Không tải giảm a</v>
      </c>
      <c r="B88" s="2">
        <f>B18*0.173927422568727</f>
        <v>0.78267340155927156</v>
      </c>
      <c r="C88" s="2">
        <v>6.94318442029737E-2</v>
      </c>
      <c r="D88" s="2">
        <f>B18*C88</f>
        <v>0.31244329891338163</v>
      </c>
      <c r="E88" s="2">
        <f>G18+F18*D88+0.5*E18*D88^2</f>
        <v>0.10894880086955668</v>
      </c>
      <c r="F88" s="2">
        <f>F18+E18*D88</f>
        <v>-2.5263157894736845E-2</v>
      </c>
      <c r="G88" s="2">
        <f>D18*C18*(Tinh_toan_x2!E14*Tinh_toan_x2!E17+F88)</f>
        <v>-429.95557894736845</v>
      </c>
      <c r="H88" s="2">
        <f>G88*Tinh_toan_x2!E12/(2*Tinh_toan_x2!E15*Tinh_toan_x2!E13)+D18*(Tinh_toan_x2!C47+Tinh_toan_x2!E52+Tinh_toan_x2!E53/Tinh_toan_x2!E13^2)*2*Tinh_toan_x2!E13/Tinh_toan_x2!E12*F88</f>
        <v>0.22837253289473691</v>
      </c>
      <c r="I88" s="2">
        <f>H88*D18*E88*2*Tinh_toan_x2!E13/Tinh_toan_x2!E12</f>
        <v>-19.904730888339977</v>
      </c>
      <c r="J88" s="2">
        <f t="shared" si="8"/>
        <v>310.09388033942281</v>
      </c>
      <c r="K88" s="2">
        <f t="shared" si="9"/>
        <v>4.0819559370754752E-2</v>
      </c>
      <c r="L88" s="2"/>
      <c r="M88" s="2"/>
      <c r="N88" s="2"/>
    </row>
    <row r="89" spans="1:14" ht="32.1" customHeight="1">
      <c r="A89" s="1" t="str">
        <f>A18</f>
        <v>Không tải giảm a</v>
      </c>
      <c r="B89" s="2">
        <f>B18*0.326072577431273</f>
        <v>1.4673265984407284</v>
      </c>
      <c r="C89" s="2">
        <v>0.33000947820757198</v>
      </c>
      <c r="D89" s="2">
        <f>B18*C89</f>
        <v>1.4850426519340738</v>
      </c>
      <c r="E89" s="2">
        <f>G18+F18*D89+0.5*E18*D89^2</f>
        <v>7.9325238266928666E-2</v>
      </c>
      <c r="F89" s="2">
        <f>F18+E18*D89</f>
        <v>-2.5263157894736845E-2</v>
      </c>
      <c r="G89" s="2">
        <f>D18*C18*(Tinh_toan_x2!E14*Tinh_toan_x2!E17+F89)</f>
        <v>-429.95557894736845</v>
      </c>
      <c r="H89" s="2">
        <f>G89*Tinh_toan_x2!E12/(2*Tinh_toan_x2!E15*Tinh_toan_x2!E13)+D18*(Tinh_toan_x2!C47+Tinh_toan_x2!E52+Tinh_toan_x2!E53/Tinh_toan_x2!E13^2)*2*Tinh_toan_x2!E13/Tinh_toan_x2!E12*F89</f>
        <v>0.22837253289473691</v>
      </c>
      <c r="I89" s="2">
        <f>H89*D18*E89*2*Tinh_toan_x2!E13/Tinh_toan_x2!E12</f>
        <v>-14.492564468397608</v>
      </c>
      <c r="J89" s="2">
        <f t="shared" si="8"/>
        <v>308.18909820092153</v>
      </c>
      <c r="K89" s="2">
        <f t="shared" si="9"/>
        <v>7.6526971635950056E-2</v>
      </c>
      <c r="L89" s="2"/>
      <c r="M89" s="2"/>
      <c r="N89" s="2"/>
    </row>
    <row r="90" spans="1:14" ht="32.1" customHeight="1">
      <c r="A90" s="1" t="str">
        <f>A18</f>
        <v>Không tải giảm a</v>
      </c>
      <c r="B90" s="2">
        <f>B18*0.326072577431273</f>
        <v>1.4673265984407284</v>
      </c>
      <c r="C90" s="2">
        <v>0.66999052179242802</v>
      </c>
      <c r="D90" s="2">
        <f>B18*C90</f>
        <v>3.0149573480659262</v>
      </c>
      <c r="E90" s="2">
        <f>G18+F18*D90+0.5*E18*D90^2</f>
        <v>4.067476173307133E-2</v>
      </c>
      <c r="F90" s="2">
        <f>F18+E18*D90</f>
        <v>-2.5263157894736845E-2</v>
      </c>
      <c r="G90" s="2">
        <f>D18*C18*(Tinh_toan_x2!E14*Tinh_toan_x2!E17+F90)</f>
        <v>-429.95557894736845</v>
      </c>
      <c r="H90" s="2">
        <f>G90*Tinh_toan_x2!E12/(2*Tinh_toan_x2!E15*Tinh_toan_x2!E13)+D18*(Tinh_toan_x2!C47+Tinh_toan_x2!E52+Tinh_toan_x2!E53/Tinh_toan_x2!E13^2)*2*Tinh_toan_x2!E13/Tinh_toan_x2!E12*F90</f>
        <v>0.22837253289473691</v>
      </c>
      <c r="I90" s="2">
        <f>H90*D18*E90*2*Tinh_toan_x2!E13/Tinh_toan_x2!E12</f>
        <v>-7.4311986894971342</v>
      </c>
      <c r="J90" s="2">
        <f t="shared" si="8"/>
        <v>81.029757035677065</v>
      </c>
      <c r="K90" s="2">
        <f t="shared" si="9"/>
        <v>7.6526971635950056E-2</v>
      </c>
      <c r="L90" s="2"/>
      <c r="M90" s="2"/>
      <c r="N90" s="2"/>
    </row>
    <row r="91" spans="1:14" ht="32.1" customHeight="1">
      <c r="A91" s="1" t="str">
        <f>A18</f>
        <v>Không tải giảm a</v>
      </c>
      <c r="B91" s="2">
        <f>B18*0.173927422568727</f>
        <v>0.78267340155927156</v>
      </c>
      <c r="C91" s="2">
        <v>0.93056815579702601</v>
      </c>
      <c r="D91" s="2">
        <f>B18*C91</f>
        <v>4.187556701086617</v>
      </c>
      <c r="E91" s="2">
        <f>G18+F18*D91+0.5*E18*D91^2</f>
        <v>1.1051199130443348E-2</v>
      </c>
      <c r="F91" s="2">
        <f>F18+E18*D91</f>
        <v>-2.5263157894736845E-2</v>
      </c>
      <c r="G91" s="2">
        <f>D18*C18*(Tinh_toan_x2!E14*Tinh_toan_x2!E17+F91)</f>
        <v>-429.95557894736845</v>
      </c>
      <c r="H91" s="2">
        <f>G91*Tinh_toan_x2!E12/(2*Tinh_toan_x2!E15*Tinh_toan_x2!E13)+D18*(Tinh_toan_x2!C47+Tinh_toan_x2!E52+Tinh_toan_x2!E53/Tinh_toan_x2!E13^2)*2*Tinh_toan_x2!E13/Tinh_toan_x2!E12*F91</f>
        <v>0.22837253289473691</v>
      </c>
      <c r="I91" s="2">
        <f>H91*D18*E91*2*Tinh_toan_x2!E13/Tinh_toan_x2!E12</f>
        <v>-2.0190322695547693</v>
      </c>
      <c r="J91" s="2">
        <f t="shared" si="8"/>
        <v>3.1905613165052067</v>
      </c>
      <c r="K91" s="2">
        <f t="shared" si="9"/>
        <v>4.0819559370754752E-2</v>
      </c>
      <c r="L91" s="2"/>
      <c r="M91" s="2"/>
      <c r="N91" s="2"/>
    </row>
    <row r="92" spans="1:14" ht="32.1" customHeight="1">
      <c r="A92" s="1" t="str">
        <f>A19</f>
        <v>Không tải giảm j+</v>
      </c>
      <c r="B92" s="2">
        <f>B19*0.173927422568727</f>
        <v>4.3481855642181752E-2</v>
      </c>
      <c r="C92" s="2">
        <v>6.94318442029737E-2</v>
      </c>
      <c r="D92" s="2">
        <f>B19*C92</f>
        <v>1.7357961050743425E-2</v>
      </c>
      <c r="E92" s="2">
        <f>G19+F19*D92+0.5*E19*D92^2</f>
        <v>2.7346013450004489E-3</v>
      </c>
      <c r="F92" s="2">
        <f>F19+E19*D92</f>
        <v>-2.3509090251714351E-2</v>
      </c>
      <c r="G92" s="2">
        <f>D19*C19*(Tinh_toan_x2!E14*Tinh_toan_x2!E17+F92)</f>
        <v>-430.34498196411948</v>
      </c>
      <c r="H92" s="2">
        <f>G92*Tinh_toan_x2!E12/(2*Tinh_toan_x2!E15*Tinh_toan_x2!E13)+D19*(Tinh_toan_x2!C47+Tinh_toan_x2!E52+Tinh_toan_x2!E53/Tinh_toan_x2!E13^2)*2*Tinh_toan_x2!E13/Tinh_toan_x2!E12*F92</f>
        <v>0.17313858725437381</v>
      </c>
      <c r="I92" s="2">
        <f>H92*D19*E92*2*Tinh_toan_x2!E13/Tinh_toan_x2!E12</f>
        <v>-0.3787720108618306</v>
      </c>
      <c r="J92" s="2">
        <f t="shared" si="8"/>
        <v>6.2382651362223015E-3</v>
      </c>
      <c r="K92" s="2">
        <f t="shared" si="9"/>
        <v>1.303454299367978E-3</v>
      </c>
      <c r="L92" s="2"/>
      <c r="M92" s="2"/>
      <c r="N92" s="2"/>
    </row>
    <row r="93" spans="1:14" ht="32.1" customHeight="1">
      <c r="A93" s="1" t="str">
        <f>A19</f>
        <v>Không tải giảm j+</v>
      </c>
      <c r="B93" s="2">
        <f>B19*0.326072577431273</f>
        <v>8.1518144357818248E-2</v>
      </c>
      <c r="C93" s="2">
        <v>0.33000947820757198</v>
      </c>
      <c r="D93" s="2">
        <f>B19*C93</f>
        <v>8.2502369551892996E-2</v>
      </c>
      <c r="E93" s="2">
        <f>G19+F19*D93+0.5*E19*D93^2</f>
        <v>1.417538839868485E-3</v>
      </c>
      <c r="F93" s="2">
        <f>F19+E19*D93</f>
        <v>-1.6926076340019237E-2</v>
      </c>
      <c r="G93" s="2">
        <f>D19*C19*(Tinh_toan_x2!E14*Tinh_toan_x2!E17+F93)</f>
        <v>-431.80641105251578</v>
      </c>
      <c r="H93" s="2">
        <f>G93*Tinh_toan_x2!E12/(2*Tinh_toan_x2!E15*Tinh_toan_x2!E13)+D19*(Tinh_toan_x2!C47+Tinh_toan_x2!E52+Tinh_toan_x2!E53/Tinh_toan_x2!E13^2)*2*Tinh_toan_x2!E13/Tinh_toan_x2!E12*F93</f>
        <v>-3.4154349249363003E-2</v>
      </c>
      <c r="I93" s="2">
        <f>H93*D19*E93*2*Tinh_toan_x2!E13/Tinh_toan_x2!E12</f>
        <v>3.8732093289124074E-2</v>
      </c>
      <c r="J93" s="2">
        <f t="shared" si="8"/>
        <v>1.2229148633333624E-4</v>
      </c>
      <c r="K93" s="2">
        <f t="shared" si="9"/>
        <v>9.5092510919296349E-5</v>
      </c>
      <c r="L93" s="2"/>
      <c r="M93" s="2"/>
      <c r="N93" s="2"/>
    </row>
    <row r="94" spans="1:14" ht="32.1" customHeight="1">
      <c r="A94" s="1" t="str">
        <f>A19</f>
        <v>Không tải giảm j+</v>
      </c>
      <c r="B94" s="2">
        <f>B19*0.326072577431273</f>
        <v>8.1518144357818248E-2</v>
      </c>
      <c r="C94" s="2">
        <v>0.66999052179242802</v>
      </c>
      <c r="D94" s="2">
        <f>B19*C94</f>
        <v>0.167497630448107</v>
      </c>
      <c r="E94" s="2">
        <f>G19+F19*D94+0.5*E19*D94^2</f>
        <v>3.4391449170578119E-4</v>
      </c>
      <c r="F94" s="2">
        <f>F19+E19*D94</f>
        <v>-8.3370815547176083E-3</v>
      </c>
      <c r="G94" s="2">
        <f>D19*C19*(Tinh_toan_x2!E14*Tinh_toan_x2!E17+F94)</f>
        <v>-433.71316789485269</v>
      </c>
      <c r="H94" s="2">
        <f>G94*Tinh_toan_x2!E12/(2*Tinh_toan_x2!E15*Tinh_toan_x2!E13)+D19*(Tinh_toan_x2!C47+Tinh_toan_x2!E52+Tinh_toan_x2!E53/Tinh_toan_x2!E13^2)*2*Tinh_toan_x2!E13/Tinh_toan_x2!E12*F94</f>
        <v>-0.30461374285590004</v>
      </c>
      <c r="I94" s="2">
        <f>H94*D19*E94*2*Tinh_toan_x2!E13/Tinh_toan_x2!E12</f>
        <v>8.3808864432705923E-2</v>
      </c>
      <c r="J94" s="2">
        <f t="shared" si="8"/>
        <v>5.7257739385845681E-4</v>
      </c>
      <c r="K94" s="2">
        <f t="shared" si="9"/>
        <v>7.5640304919159561E-3</v>
      </c>
      <c r="L94" s="2"/>
      <c r="M94" s="2"/>
      <c r="N94" s="2"/>
    </row>
    <row r="95" spans="1:14" ht="32.1" customHeight="1">
      <c r="A95" s="1" t="str">
        <f>A19</f>
        <v>Không tải giảm j+</v>
      </c>
      <c r="B95" s="2">
        <f>B19*0.173927422568727</f>
        <v>4.3481855642181752E-2</v>
      </c>
      <c r="C95" s="2">
        <v>0.93056815579702601</v>
      </c>
      <c r="D95" s="2">
        <f>B19*C95</f>
        <v>0.2326420389492565</v>
      </c>
      <c r="E95" s="2">
        <f>G19+F19*D95+0.5*E19*D95^2</f>
        <v>1.5223518913967324E-5</v>
      </c>
      <c r="F95" s="2">
        <f>F19+E19*D95</f>
        <v>-1.7540676430225013E-3</v>
      </c>
      <c r="G95" s="2">
        <f>D19*C19*(Tinh_toan_x2!E14*Tinh_toan_x2!E17+F95)</f>
        <v>-435.17459698324905</v>
      </c>
      <c r="H95" s="2">
        <f>G95*Tinh_toan_x2!E12/(2*Tinh_toan_x2!E15*Tinh_toan_x2!E13)+D19*(Tinh_toan_x2!C47+Tinh_toan_x2!E52+Tinh_toan_x2!E53/Tinh_toan_x2!E13^2)*2*Tinh_toan_x2!E13/Tinh_toan_x2!E12*F95</f>
        <v>-0.51190667935963685</v>
      </c>
      <c r="I95" s="2">
        <f>H95*D19*E95*2*Tinh_toan_x2!E13/Tinh_toan_x2!E12</f>
        <v>6.234416812334111E-3</v>
      </c>
      <c r="J95" s="2">
        <f t="shared" si="8"/>
        <v>1.6900507210145565E-6</v>
      </c>
      <c r="K95" s="2">
        <f t="shared" si="9"/>
        <v>1.139435280341294E-2</v>
      </c>
      <c r="L95" s="2"/>
      <c r="M95" s="2"/>
      <c r="N95" s="2"/>
    </row>
  </sheetData>
  <mergeCells count="3">
    <mergeCell ref="A1:N1"/>
    <mergeCell ref="A2:N2"/>
    <mergeCell ref="A34:K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9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9" customWidth="1"/>
    <col min="2" max="14" width="15" customWidth="1"/>
  </cols>
  <sheetData>
    <row r="1" spans="1:14" ht="32.1" customHeight="1">
      <c r="A1" s="8" t="s">
        <v>258</v>
      </c>
      <c r="B1" s="8"/>
      <c r="C1" s="8"/>
      <c r="D1" s="8"/>
      <c r="E1" s="8"/>
      <c r="F1" s="8"/>
      <c r="G1" s="8"/>
      <c r="H1" s="8"/>
    </row>
    <row r="2" spans="1:14" ht="32.1" customHeight="1">
      <c r="A2" s="1"/>
      <c r="B2" s="1"/>
      <c r="C2" s="1"/>
      <c r="D2" s="1"/>
      <c r="E2" s="1"/>
      <c r="F2" s="1"/>
      <c r="G2" s="1"/>
      <c r="H2" s="1"/>
    </row>
    <row r="3" spans="1:14" ht="32.1" customHeight="1">
      <c r="A3" s="1"/>
      <c r="B3" s="1"/>
      <c r="C3" s="1"/>
      <c r="D3" s="1"/>
      <c r="E3" s="1"/>
      <c r="F3" s="1"/>
      <c r="G3" s="1"/>
      <c r="H3" s="1"/>
    </row>
    <row r="4" spans="1:14" ht="32.1" customHeight="1">
      <c r="A4" s="3" t="s">
        <v>259</v>
      </c>
      <c r="B4" s="3" t="s">
        <v>260</v>
      </c>
      <c r="C4" s="3" t="s">
        <v>261</v>
      </c>
      <c r="D4" s="3" t="s">
        <v>262</v>
      </c>
      <c r="E4" s="3" t="s">
        <v>263</v>
      </c>
      <c r="F4" s="3" t="s">
        <v>264</v>
      </c>
      <c r="G4" s="3" t="s">
        <v>210</v>
      </c>
      <c r="H4" s="3" t="s">
        <v>206</v>
      </c>
      <c r="I4" s="6"/>
      <c r="J4" s="6"/>
      <c r="K4" s="6"/>
      <c r="L4" s="6"/>
      <c r="M4" s="6"/>
      <c r="N4" s="6"/>
    </row>
    <row r="5" spans="1:14" ht="32.1" customHeight="1">
      <c r="A5" s="1">
        <f>Chu_ky!H5+(Chu_ky!B5*0/10)</f>
        <v>0</v>
      </c>
      <c r="B5" s="2">
        <f>Chu_ky!D5*(Chu_ky!G5+Chu_ky!F5*(Chu_ky!B5*0/10)+0.5*Chu_ky!E5*(Chu_ky!B5*0/10)^2)</f>
        <v>0</v>
      </c>
      <c r="C5" s="2">
        <f>Chu_ky!C5*(Chu_ky!D5*Tinh_toan_x2!E14*Tinh_toan_x2!E17+F5)</f>
        <v>24415.128000000001</v>
      </c>
      <c r="D5" s="2">
        <f>E5*B5*2*Tinh_toan_x2!E13/Tinh_toan_x2!E12</f>
        <v>0</v>
      </c>
      <c r="E5" s="2">
        <f>C5*Tinh_toan_x2!E12/(2*Tinh_toan_x2!E15*Tinh_toan_x2!E13)+(Tinh_toan_x2!C47+Tinh_toan_x2!E52+Tinh_toan_x2!E53/Tinh_toan_x2!E13^2)*2*Tinh_toan_x2!E13/Tinh_toan_x2!E12*F5</f>
        <v>31.790531250000001</v>
      </c>
      <c r="F5" s="2">
        <f>Chu_ky!D5*(Chu_ky!F5+Chu_ky!E5*(Chu_ky!B5*0/10))</f>
        <v>0</v>
      </c>
      <c r="G5" s="2">
        <f>Chu_ky!D5*Chu_ky!E5</f>
        <v>0.2742857142857143</v>
      </c>
      <c r="H5" s="2" t="str">
        <f>Chu_ky!A5</f>
        <v>Có tải tăng j+</v>
      </c>
      <c r="I5" s="5"/>
      <c r="J5" s="5"/>
      <c r="K5" s="5"/>
      <c r="L5" s="5"/>
      <c r="M5" s="5"/>
      <c r="N5" s="5"/>
    </row>
    <row r="6" spans="1:14" ht="32.1" customHeight="1">
      <c r="A6" s="1">
        <f>Chu_ky!H5+(Chu_ky!B5*1/10)</f>
        <v>2.5000000000000001E-2</v>
      </c>
      <c r="B6" s="2">
        <f>Chu_ky!D5*(Chu_ky!G5+Chu_ky!F5*(Chu_ky!B5*1/10)+0.5*Chu_ky!E5*(Chu_ky!B5*1/10)^2)</f>
        <v>8.571428571428574E-5</v>
      </c>
      <c r="C6" s="2">
        <f>Chu_ky!C5*(Chu_ky!D5*Tinh_toan_x2!E14*Tinh_toan_x2!E17+F6)</f>
        <v>24500.458285714289</v>
      </c>
      <c r="D6" s="2">
        <f>E6*B6*2*Tinh_toan_x2!E13/Tinh_toan_x2!E12</f>
        <v>2.2022112857142866</v>
      </c>
      <c r="E6" s="2">
        <f>C6*Tinh_toan_x2!E12/(2*Tinh_toan_x2!E15*Tinh_toan_x2!E13)+(Tinh_toan_x2!C47+Tinh_toan_x2!E52+Tinh_toan_x2!E53/Tinh_toan_x2!E13^2)*2*Tinh_toan_x2!E13/Tinh_toan_x2!E12*F6</f>
        <v>32.115581250000005</v>
      </c>
      <c r="F6" s="2">
        <f>Chu_ky!D5*(Chu_ky!F5+Chu_ky!E5*(Chu_ky!B5*1/10))</f>
        <v>6.8571428571428577E-3</v>
      </c>
      <c r="G6" s="2">
        <f>Chu_ky!D5*Chu_ky!E5</f>
        <v>0.2742857142857143</v>
      </c>
      <c r="H6" s="2" t="str">
        <f>Chu_ky!A5</f>
        <v>Có tải tăng j+</v>
      </c>
      <c r="I6" s="5"/>
      <c r="J6" s="5"/>
      <c r="K6" s="5"/>
      <c r="L6" s="5"/>
      <c r="M6" s="5"/>
      <c r="N6" s="5"/>
    </row>
    <row r="7" spans="1:14" ht="32.1" customHeight="1">
      <c r="A7" s="1">
        <f>Chu_ky!H5+(Chu_ky!B5*2/10)</f>
        <v>0.05</v>
      </c>
      <c r="B7" s="2">
        <f>Chu_ky!D5*(Chu_ky!G5+Chu_ky!F5*(Chu_ky!B5*2/10)+0.5*Chu_ky!E5*(Chu_ky!B5*2/10)^2)</f>
        <v>3.4285714285714296E-4</v>
      </c>
      <c r="C7" s="2">
        <f>Chu_ky!C5*(Chu_ky!D5*Tinh_toan_x2!E14*Tinh_toan_x2!E17+F7)</f>
        <v>24585.788571428573</v>
      </c>
      <c r="D7" s="2">
        <f>E7*B7*2*Tinh_toan_x2!E13/Tinh_toan_x2!E12</f>
        <v>8.8980017142857175</v>
      </c>
      <c r="E7" s="2">
        <f>C7*Tinh_toan_x2!E12/(2*Tinh_toan_x2!E15*Tinh_toan_x2!E13)+(Tinh_toan_x2!C47+Tinh_toan_x2!E52+Tinh_toan_x2!E53/Tinh_toan_x2!E13^2)*2*Tinh_toan_x2!E13/Tinh_toan_x2!E12*F7</f>
        <v>32.440631250000003</v>
      </c>
      <c r="F7" s="2">
        <f>Chu_ky!D5*(Chu_ky!F5+Chu_ky!E5*(Chu_ky!B5*2/10))</f>
        <v>1.3714285714285715E-2</v>
      </c>
      <c r="G7" s="2">
        <f>Chu_ky!D5*Chu_ky!E5</f>
        <v>0.2742857142857143</v>
      </c>
      <c r="H7" s="2" t="str">
        <f>Chu_ky!A5</f>
        <v>Có tải tăng j+</v>
      </c>
      <c r="I7" s="5"/>
      <c r="J7" s="5"/>
      <c r="K7" s="5"/>
      <c r="L7" s="5"/>
      <c r="M7" s="5"/>
      <c r="N7" s="5"/>
    </row>
    <row r="8" spans="1:14" ht="32.1" customHeight="1">
      <c r="A8" s="1">
        <f>Chu_ky!H5+(Chu_ky!B5*3/10)</f>
        <v>7.4999999999999997E-2</v>
      </c>
      <c r="B8" s="2">
        <f>Chu_ky!D5*(Chu_ky!G5+Chu_ky!F5*(Chu_ky!B5*3/10)+0.5*Chu_ky!E5*(Chu_ky!B5*3/10)^2)</f>
        <v>7.7142857142857145E-4</v>
      </c>
      <c r="C8" s="2">
        <f>Chu_ky!C5*(Chu_ky!D5*Tinh_toan_x2!E14*Tinh_toan_x2!E17+F8)</f>
        <v>24671.118857142857</v>
      </c>
      <c r="D8" s="2">
        <f>E8*B8*2*Tinh_toan_x2!E13/Tinh_toan_x2!E12</f>
        <v>20.221106142857142</v>
      </c>
      <c r="E8" s="2">
        <f>C8*Tinh_toan_x2!E12/(2*Tinh_toan_x2!E15*Tinh_toan_x2!E13)+(Tinh_toan_x2!C47+Tinh_toan_x2!E52+Tinh_toan_x2!E53/Tinh_toan_x2!E13^2)*2*Tinh_toan_x2!E13/Tinh_toan_x2!E12*F8</f>
        <v>32.76568125</v>
      </c>
      <c r="F8" s="2">
        <f>Chu_ky!D5*(Chu_ky!F5+Chu_ky!E5*(Chu_ky!B5*3/10))</f>
        <v>2.057142857142857E-2</v>
      </c>
      <c r="G8" s="2">
        <f>Chu_ky!D5*Chu_ky!E5</f>
        <v>0.2742857142857143</v>
      </c>
      <c r="H8" s="2" t="str">
        <f>Chu_ky!A5</f>
        <v>Có tải tăng j+</v>
      </c>
      <c r="I8" s="5"/>
      <c r="J8" s="5"/>
      <c r="K8" s="5"/>
      <c r="L8" s="5"/>
      <c r="M8" s="5"/>
      <c r="N8" s="5"/>
    </row>
    <row r="9" spans="1:14" ht="32.1" customHeight="1">
      <c r="A9" s="1">
        <f>Chu_ky!H5+(Chu_ky!B5*4/10)</f>
        <v>0.1</v>
      </c>
      <c r="B9" s="2">
        <f>Chu_ky!D5*(Chu_ky!G5+Chu_ky!F5*(Chu_ky!B5*4/10)+0.5*Chu_ky!E5*(Chu_ky!B5*4/10)^2)</f>
        <v>1.3714285714285718E-3</v>
      </c>
      <c r="C9" s="2">
        <f>Chu_ky!C5*(Chu_ky!D5*Tinh_toan_x2!E14*Tinh_toan_x2!E17+F9)</f>
        <v>24756.449142857145</v>
      </c>
      <c r="D9" s="2">
        <f>E9*B9*2*Tinh_toan_x2!E13/Tinh_toan_x2!E12</f>
        <v>36.305259428571446</v>
      </c>
      <c r="E9" s="2">
        <f>C9*Tinh_toan_x2!E12/(2*Tinh_toan_x2!E15*Tinh_toan_x2!E13)+(Tinh_toan_x2!C47+Tinh_toan_x2!E52+Tinh_toan_x2!E53/Tinh_toan_x2!E13^2)*2*Tinh_toan_x2!E13/Tinh_toan_x2!E12*F9</f>
        <v>33.090731250000005</v>
      </c>
      <c r="F9" s="2">
        <f>Chu_ky!D5*(Chu_ky!F5+Chu_ky!E5*(Chu_ky!B5*4/10))</f>
        <v>2.7428571428571431E-2</v>
      </c>
      <c r="G9" s="2">
        <f>Chu_ky!D5*Chu_ky!E5</f>
        <v>0.2742857142857143</v>
      </c>
      <c r="H9" s="2" t="str">
        <f>Chu_ky!A5</f>
        <v>Có tải tăng j+</v>
      </c>
      <c r="I9" s="5"/>
      <c r="J9" s="5"/>
      <c r="K9" s="5"/>
      <c r="L9" s="5"/>
      <c r="M9" s="5"/>
      <c r="N9" s="5"/>
    </row>
    <row r="10" spans="1:14" ht="32.1" customHeight="1">
      <c r="A10" s="1">
        <f>Chu_ky!H5+(Chu_ky!B5*5/10)</f>
        <v>0.125</v>
      </c>
      <c r="B10" s="2">
        <f>Chu_ky!D5*(Chu_ky!G5+Chu_ky!F5*(Chu_ky!B5*5/10)+0.5*Chu_ky!E5*(Chu_ky!B5*5/10)^2)</f>
        <v>2.142857142857143E-3</v>
      </c>
      <c r="C10" s="2">
        <f>Chu_ky!C5*(Chu_ky!D5*Tinh_toan_x2!E14*Tinh_toan_x2!E17+F10)</f>
        <v>24841.77942857143</v>
      </c>
      <c r="D10" s="2">
        <f>E10*B10*2*Tinh_toan_x2!E13/Tinh_toan_x2!E12</f>
        <v>57.284196428571434</v>
      </c>
      <c r="E10" s="2">
        <f>C10*Tinh_toan_x2!E12/(2*Tinh_toan_x2!E15*Tinh_toan_x2!E13)+(Tinh_toan_x2!C47+Tinh_toan_x2!E52+Tinh_toan_x2!E53/Tinh_toan_x2!E13^2)*2*Tinh_toan_x2!E13/Tinh_toan_x2!E12*F10</f>
        <v>33.415781250000002</v>
      </c>
      <c r="F10" s="2">
        <f>Chu_ky!D5*(Chu_ky!F5+Chu_ky!E5*(Chu_ky!B5*5/10))</f>
        <v>3.4285714285714287E-2</v>
      </c>
      <c r="G10" s="2">
        <f>Chu_ky!D5*Chu_ky!E5</f>
        <v>0.2742857142857143</v>
      </c>
      <c r="H10" s="2" t="str">
        <f>Chu_ky!A5</f>
        <v>Có tải tăng j+</v>
      </c>
      <c r="I10" s="5"/>
      <c r="J10" s="5"/>
      <c r="K10" s="5"/>
      <c r="L10" s="5"/>
      <c r="M10" s="5"/>
      <c r="N10" s="5"/>
    </row>
    <row r="11" spans="1:14" ht="32.1" customHeight="1">
      <c r="A11" s="1">
        <f>Chu_ky!H5+(Chu_ky!B5*6/10)</f>
        <v>0.15</v>
      </c>
      <c r="B11" s="2">
        <f>Chu_ky!D5*(Chu_ky!G5+Chu_ky!F5*(Chu_ky!B5*6/10)+0.5*Chu_ky!E5*(Chu_ky!B5*6/10)^2)</f>
        <v>3.0857142857142858E-3</v>
      </c>
      <c r="C11" s="2">
        <f>Chu_ky!C5*(Chu_ky!D5*Tinh_toan_x2!E14*Tinh_toan_x2!E17+F11)</f>
        <v>24927.109714285714</v>
      </c>
      <c r="D11" s="2">
        <f>E11*B11*2*Tinh_toan_x2!E13/Tinh_toan_x2!E12</f>
        <v>83.291651999999999</v>
      </c>
      <c r="E11" s="2">
        <f>C11*Tinh_toan_x2!E12/(2*Tinh_toan_x2!E15*Tinh_toan_x2!E13)+(Tinh_toan_x2!C47+Tinh_toan_x2!E52+Tinh_toan_x2!E53/Tinh_toan_x2!E13^2)*2*Tinh_toan_x2!E13/Tinh_toan_x2!E12*F11</f>
        <v>33.740831249999999</v>
      </c>
      <c r="F11" s="2">
        <f>Chu_ky!D5*(Chu_ky!F5+Chu_ky!E5*(Chu_ky!B5*6/10))</f>
        <v>4.1142857142857141E-2</v>
      </c>
      <c r="G11" s="2">
        <f>Chu_ky!D5*Chu_ky!E5</f>
        <v>0.2742857142857143</v>
      </c>
      <c r="H11" s="2" t="str">
        <f>Chu_ky!A5</f>
        <v>Có tải tăng j+</v>
      </c>
      <c r="I11" s="5"/>
      <c r="J11" s="5"/>
      <c r="K11" s="5"/>
      <c r="L11" s="5"/>
      <c r="M11" s="5"/>
      <c r="N11" s="5"/>
    </row>
    <row r="12" spans="1:14" ht="32.1" customHeight="1">
      <c r="A12" s="1">
        <f>Chu_ky!H5+(Chu_ky!B5*7/10)</f>
        <v>0.17499999999999999</v>
      </c>
      <c r="B12" s="2">
        <f>Chu_ky!D5*(Chu_ky!G5+Chu_ky!F5*(Chu_ky!B5*7/10)+0.5*Chu_ky!E5*(Chu_ky!B5*7/10)^2)</f>
        <v>4.1999999999999997E-3</v>
      </c>
      <c r="C12" s="2">
        <f>Chu_ky!C5*(Chu_ky!D5*Tinh_toan_x2!E14*Tinh_toan_x2!E17+F12)</f>
        <v>25012.440000000002</v>
      </c>
      <c r="D12" s="2">
        <f>E12*B12*2*Tinh_toan_x2!E13/Tinh_toan_x2!E12</f>
        <v>114.46136100000001</v>
      </c>
      <c r="E12" s="2">
        <f>C12*Tinh_toan_x2!E12/(2*Tinh_toan_x2!E15*Tinh_toan_x2!E13)+(Tinh_toan_x2!C47+Tinh_toan_x2!E52+Tinh_toan_x2!E53/Tinh_toan_x2!E13^2)*2*Tinh_toan_x2!E13/Tinh_toan_x2!E12*F12</f>
        <v>34.065881250000004</v>
      </c>
      <c r="F12" s="2">
        <f>Chu_ky!D5*(Chu_ky!F5+Chu_ky!E5*(Chu_ky!B5*7/10))</f>
        <v>4.8000000000000001E-2</v>
      </c>
      <c r="G12" s="2">
        <f>Chu_ky!D5*Chu_ky!E5</f>
        <v>0.2742857142857143</v>
      </c>
      <c r="H12" s="2" t="str">
        <f>Chu_ky!A5</f>
        <v>Có tải tăng j+</v>
      </c>
      <c r="I12" s="5"/>
      <c r="J12" s="5"/>
      <c r="K12" s="5"/>
      <c r="L12" s="5"/>
      <c r="M12" s="5"/>
      <c r="N12" s="5"/>
    </row>
    <row r="13" spans="1:14" ht="32.1" customHeight="1">
      <c r="A13" s="1">
        <f>Chu_ky!H5+(Chu_ky!B5*8/10)</f>
        <v>0.2</v>
      </c>
      <c r="B13" s="2">
        <f>Chu_ky!D5*(Chu_ky!G5+Chu_ky!F5*(Chu_ky!B5*8/10)+0.5*Chu_ky!E5*(Chu_ky!B5*8/10)^2)</f>
        <v>5.4857142857142873E-3</v>
      </c>
      <c r="C13" s="2">
        <f>Chu_ky!C5*(Chu_ky!D5*Tinh_toan_x2!E14*Tinh_toan_x2!E17+F13)</f>
        <v>25097.770285714287</v>
      </c>
      <c r="D13" s="2">
        <f>E13*B13*2*Tinh_toan_x2!E13/Tinh_toan_x2!E12</f>
        <v>150.92705828571434</v>
      </c>
      <c r="E13" s="2">
        <f>C13*Tinh_toan_x2!E12/(2*Tinh_toan_x2!E15*Tinh_toan_x2!E13)+(Tinh_toan_x2!C47+Tinh_toan_x2!E52+Tinh_toan_x2!E53/Tinh_toan_x2!E13^2)*2*Tinh_toan_x2!E13/Tinh_toan_x2!E12*F13</f>
        <v>34.390931250000001</v>
      </c>
      <c r="F13" s="2">
        <f>Chu_ky!D5*(Chu_ky!F5+Chu_ky!E5*(Chu_ky!B5*8/10))</f>
        <v>5.4857142857142861E-2</v>
      </c>
      <c r="G13" s="2">
        <f>Chu_ky!D5*Chu_ky!E5</f>
        <v>0.2742857142857143</v>
      </c>
      <c r="H13" s="2" t="str">
        <f>Chu_ky!A5</f>
        <v>Có tải tăng j+</v>
      </c>
      <c r="I13" s="5"/>
      <c r="J13" s="5"/>
      <c r="K13" s="5"/>
      <c r="L13" s="5"/>
      <c r="M13" s="5"/>
      <c r="N13" s="5"/>
    </row>
    <row r="14" spans="1:14" ht="32.1" customHeight="1">
      <c r="A14" s="1">
        <f>Chu_ky!H5+(Chu_ky!B5*9/10)</f>
        <v>0.22500000000000001</v>
      </c>
      <c r="B14" s="2">
        <f>Chu_ky!D5*(Chu_ky!G5+Chu_ky!F5*(Chu_ky!B5*9/10)+0.5*Chu_ky!E5*(Chu_ky!B5*9/10)^2)</f>
        <v>6.9428571428571438E-3</v>
      </c>
      <c r="C14" s="2">
        <f>Chu_ky!C5*(Chu_ky!D5*Tinh_toan_x2!E14*Tinh_toan_x2!E17+F14)</f>
        <v>25183.100571428575</v>
      </c>
      <c r="D14" s="2">
        <f>E14*B14*2*Tinh_toan_x2!E13/Tinh_toan_x2!E12</f>
        <v>192.82247871428578</v>
      </c>
      <c r="E14" s="2">
        <f>C14*Tinh_toan_x2!E12/(2*Tinh_toan_x2!E15*Tinh_toan_x2!E13)+(Tinh_toan_x2!C47+Tinh_toan_x2!E52+Tinh_toan_x2!E53/Tinh_toan_x2!E13^2)*2*Tinh_toan_x2!E13/Tinh_toan_x2!E12*F14</f>
        <v>34.715981250000006</v>
      </c>
      <c r="F14" s="2">
        <f>Chu_ky!D5*(Chu_ky!F5+Chu_ky!E5*(Chu_ky!B5*9/10))</f>
        <v>6.1714285714285722E-2</v>
      </c>
      <c r="G14" s="2">
        <f>Chu_ky!D5*Chu_ky!E5</f>
        <v>0.2742857142857143</v>
      </c>
      <c r="H14" s="2" t="str">
        <f>Chu_ky!A5</f>
        <v>Có tải tăng j+</v>
      </c>
      <c r="I14" s="5"/>
      <c r="J14" s="5"/>
      <c r="K14" s="5"/>
      <c r="L14" s="5"/>
      <c r="M14" s="5"/>
      <c r="N14" s="5"/>
    </row>
    <row r="15" spans="1:14" ht="32.1" customHeight="1">
      <c r="A15" s="1">
        <f>Chu_ky!H5+(Chu_ky!B5*10/10)</f>
        <v>0.25</v>
      </c>
      <c r="B15" s="2">
        <f>Chu_ky!D5*(Chu_ky!G5+Chu_ky!F5*(Chu_ky!B5*10/10)+0.5*Chu_ky!E5*(Chu_ky!B5*10/10)^2)</f>
        <v>8.5714285714285719E-3</v>
      </c>
      <c r="C15" s="2">
        <f>Chu_ky!C5*(Chu_ky!D5*Tinh_toan_x2!E14*Tinh_toan_x2!E17+F15)</f>
        <v>25268.430857142859</v>
      </c>
      <c r="D15" s="2">
        <f>E15*B15*2*Tinh_toan_x2!E13/Tinh_toan_x2!E12</f>
        <v>240.28135714285716</v>
      </c>
      <c r="E15" s="2">
        <f>C15*Tinh_toan_x2!E12/(2*Tinh_toan_x2!E15*Tinh_toan_x2!E13)+(Tinh_toan_x2!C47+Tinh_toan_x2!E52+Tinh_toan_x2!E53/Tinh_toan_x2!E13^2)*2*Tinh_toan_x2!E13/Tinh_toan_x2!E12*F15</f>
        <v>35.041031250000003</v>
      </c>
      <c r="F15" s="2">
        <f>Chu_ky!D5*(Chu_ky!F5+Chu_ky!E5*(Chu_ky!B5*10/10))</f>
        <v>6.8571428571428575E-2</v>
      </c>
      <c r="G15" s="2">
        <f>Chu_ky!D5*Chu_ky!E5</f>
        <v>0.2742857142857143</v>
      </c>
      <c r="H15" s="2" t="str">
        <f>Chu_ky!A5</f>
        <v>Có tải tăng j+</v>
      </c>
      <c r="I15" s="5"/>
      <c r="J15" s="5"/>
      <c r="K15" s="5"/>
      <c r="L15" s="5"/>
      <c r="M15" s="5"/>
      <c r="N15" s="5"/>
    </row>
    <row r="16" spans="1:14" ht="32.1" customHeight="1">
      <c r="A16" s="1">
        <f>Chu_ky!H6+(Chu_ky!B6*0/10)</f>
        <v>0.25</v>
      </c>
      <c r="B16" s="2">
        <f>Chu_ky!D6*(Chu_ky!G6+Chu_ky!F6*(Chu_ky!B6*0/10)+0.5*Chu_ky!E6*(Chu_ky!B6*0/10)^2)</f>
        <v>8.5714285714285719E-3</v>
      </c>
      <c r="C16" s="2">
        <f>Chu_ky!C6*(Chu_ky!D6*Tinh_toan_x2!E14*Tinh_toan_x2!E17+F16)</f>
        <v>25268.430857142859</v>
      </c>
      <c r="D16" s="2">
        <f>E16*B16*2*Tinh_toan_x2!E13/Tinh_toan_x2!E12</f>
        <v>240.28135714285716</v>
      </c>
      <c r="E16" s="2">
        <f>C16*Tinh_toan_x2!E12/(2*Tinh_toan_x2!E15*Tinh_toan_x2!E13)+(Tinh_toan_x2!C47+Tinh_toan_x2!E52+Tinh_toan_x2!E53/Tinh_toan_x2!E13^2)*2*Tinh_toan_x2!E13/Tinh_toan_x2!E12*F16</f>
        <v>35.041031250000003</v>
      </c>
      <c r="F16" s="2">
        <f>Chu_ky!D6*(Chu_ky!F6+Chu_ky!E6*(Chu_ky!B6*0/10))</f>
        <v>6.8571428571428575E-2</v>
      </c>
      <c r="G16" s="2">
        <f>Chu_ky!D6*Chu_ky!E6</f>
        <v>0</v>
      </c>
      <c r="H16" s="2" t="str">
        <f>Chu_ky!A6</f>
        <v>Có tải tăng a</v>
      </c>
      <c r="I16" s="5"/>
      <c r="J16" s="5"/>
      <c r="K16" s="5"/>
      <c r="L16" s="5"/>
      <c r="M16" s="5"/>
      <c r="N16" s="5"/>
    </row>
    <row r="17" spans="1:14" ht="32.1" customHeight="1">
      <c r="A17" s="1">
        <f>Chu_ky!H6+(Chu_ky!B6*1/10)</f>
        <v>0.4</v>
      </c>
      <c r="B17" s="2">
        <f>Chu_ky!D6*(Chu_ky!G6+Chu_ky!F6*(Chu_ky!B6*1/10)+0.5*Chu_ky!E6*(Chu_ky!B6*1/10)^2)</f>
        <v>1.8857142857142857E-2</v>
      </c>
      <c r="C17" s="2">
        <f>Chu_ky!C6*(Chu_ky!D6*Tinh_toan_x2!E14*Tinh_toan_x2!E17+F17)</f>
        <v>25268.430857142859</v>
      </c>
      <c r="D17" s="2">
        <f>E17*B17*2*Tinh_toan_x2!E13/Tinh_toan_x2!E12</f>
        <v>528.61898571428571</v>
      </c>
      <c r="E17" s="2">
        <f>C17*Tinh_toan_x2!E12/(2*Tinh_toan_x2!E15*Tinh_toan_x2!E13)+(Tinh_toan_x2!C47+Tinh_toan_x2!E52+Tinh_toan_x2!E53/Tinh_toan_x2!E13^2)*2*Tinh_toan_x2!E13/Tinh_toan_x2!E12*F17</f>
        <v>35.041031250000003</v>
      </c>
      <c r="F17" s="2">
        <f>Chu_ky!D6*(Chu_ky!F6+Chu_ky!E6*(Chu_ky!B6*1/10))</f>
        <v>6.8571428571428575E-2</v>
      </c>
      <c r="G17" s="2">
        <f>Chu_ky!D6*Chu_ky!E6</f>
        <v>0</v>
      </c>
      <c r="H17" s="2" t="str">
        <f>Chu_ky!A6</f>
        <v>Có tải tăng a</v>
      </c>
      <c r="I17" s="5"/>
      <c r="J17" s="5"/>
      <c r="K17" s="5"/>
      <c r="L17" s="5"/>
      <c r="M17" s="5"/>
      <c r="N17" s="5"/>
    </row>
    <row r="18" spans="1:14" ht="32.1" customHeight="1">
      <c r="A18" s="1">
        <f>Chu_ky!H6+(Chu_ky!B6*2/10)</f>
        <v>0.55000000000000004</v>
      </c>
      <c r="B18" s="2">
        <f>Chu_ky!D6*(Chu_ky!G6+Chu_ky!F6*(Chu_ky!B6*2/10)+0.5*Chu_ky!E6*(Chu_ky!B6*2/10)^2)</f>
        <v>2.9142857142857144E-2</v>
      </c>
      <c r="C18" s="2">
        <f>Chu_ky!C6*(Chu_ky!D6*Tinh_toan_x2!E14*Tinh_toan_x2!E17+F18)</f>
        <v>25268.430857142859</v>
      </c>
      <c r="D18" s="2">
        <f>E18*B18*2*Tinh_toan_x2!E13/Tinh_toan_x2!E12</f>
        <v>816.95661428571441</v>
      </c>
      <c r="E18" s="2">
        <f>C18*Tinh_toan_x2!E12/(2*Tinh_toan_x2!E15*Tinh_toan_x2!E13)+(Tinh_toan_x2!C47+Tinh_toan_x2!E52+Tinh_toan_x2!E53/Tinh_toan_x2!E13^2)*2*Tinh_toan_x2!E13/Tinh_toan_x2!E12*F18</f>
        <v>35.041031250000003</v>
      </c>
      <c r="F18" s="2">
        <f>Chu_ky!D6*(Chu_ky!F6+Chu_ky!E6*(Chu_ky!B6*2/10))</f>
        <v>6.8571428571428575E-2</v>
      </c>
      <c r="G18" s="2">
        <f>Chu_ky!D6*Chu_ky!E6</f>
        <v>0</v>
      </c>
      <c r="H18" s="2" t="str">
        <f>Chu_ky!A6</f>
        <v>Có tải tăng a</v>
      </c>
      <c r="I18" s="5"/>
      <c r="J18" s="5"/>
      <c r="K18" s="5"/>
      <c r="L18" s="5"/>
      <c r="M18" s="5"/>
      <c r="N18" s="5"/>
    </row>
    <row r="19" spans="1:14" ht="32.1" customHeight="1">
      <c r="A19" s="1">
        <f>Chu_ky!H6+(Chu_ky!B6*3/10)</f>
        <v>0.7</v>
      </c>
      <c r="B19" s="2">
        <f>Chu_ky!D6*(Chu_ky!G6+Chu_ky!F6*(Chu_ky!B6*3/10)+0.5*Chu_ky!E6*(Chu_ky!B6*3/10)^2)</f>
        <v>3.9428571428571431E-2</v>
      </c>
      <c r="C19" s="2">
        <f>Chu_ky!C6*(Chu_ky!D6*Tinh_toan_x2!E14*Tinh_toan_x2!E17+F19)</f>
        <v>25268.430857142859</v>
      </c>
      <c r="D19" s="2">
        <f>E19*B19*2*Tinh_toan_x2!E13/Tinh_toan_x2!E12</f>
        <v>1105.294242857143</v>
      </c>
      <c r="E19" s="2">
        <f>C19*Tinh_toan_x2!E12/(2*Tinh_toan_x2!E15*Tinh_toan_x2!E13)+(Tinh_toan_x2!C47+Tinh_toan_x2!E52+Tinh_toan_x2!E53/Tinh_toan_x2!E13^2)*2*Tinh_toan_x2!E13/Tinh_toan_x2!E12*F19</f>
        <v>35.041031250000003</v>
      </c>
      <c r="F19" s="2">
        <f>Chu_ky!D6*(Chu_ky!F6+Chu_ky!E6*(Chu_ky!B6*3/10))</f>
        <v>6.8571428571428575E-2</v>
      </c>
      <c r="G19" s="2">
        <f>Chu_ky!D6*Chu_ky!E6</f>
        <v>0</v>
      </c>
      <c r="H19" s="2" t="str">
        <f>Chu_ky!A6</f>
        <v>Có tải tăng a</v>
      </c>
      <c r="I19" s="5"/>
      <c r="J19" s="5"/>
      <c r="K19" s="5"/>
      <c r="L19" s="5"/>
      <c r="M19" s="5"/>
      <c r="N19" s="5"/>
    </row>
    <row r="20" spans="1:14" ht="32.1" customHeight="1">
      <c r="A20" s="1">
        <f>Chu_ky!H6+(Chu_ky!B6*4/10)</f>
        <v>0.85</v>
      </c>
      <c r="B20" s="2">
        <f>Chu_ky!D6*(Chu_ky!G6+Chu_ky!F6*(Chu_ky!B6*4/10)+0.5*Chu_ky!E6*(Chu_ky!B6*4/10)^2)</f>
        <v>4.9714285714285711E-2</v>
      </c>
      <c r="C20" s="2">
        <f>Chu_ky!C6*(Chu_ky!D6*Tinh_toan_x2!E14*Tinh_toan_x2!E17+F20)</f>
        <v>25268.430857142859</v>
      </c>
      <c r="D20" s="2">
        <f>E20*B20*2*Tinh_toan_x2!E13/Tinh_toan_x2!E12</f>
        <v>1393.6318714285715</v>
      </c>
      <c r="E20" s="2">
        <f>C20*Tinh_toan_x2!E12/(2*Tinh_toan_x2!E15*Tinh_toan_x2!E13)+(Tinh_toan_x2!C47+Tinh_toan_x2!E52+Tinh_toan_x2!E53/Tinh_toan_x2!E13^2)*2*Tinh_toan_x2!E13/Tinh_toan_x2!E12*F20</f>
        <v>35.041031250000003</v>
      </c>
      <c r="F20" s="2">
        <f>Chu_ky!D6*(Chu_ky!F6+Chu_ky!E6*(Chu_ky!B6*4/10))</f>
        <v>6.8571428571428575E-2</v>
      </c>
      <c r="G20" s="2">
        <f>Chu_ky!D6*Chu_ky!E6</f>
        <v>0</v>
      </c>
      <c r="H20" s="2" t="str">
        <f>Chu_ky!A6</f>
        <v>Có tải tăng a</v>
      </c>
      <c r="I20" s="5"/>
      <c r="J20" s="5"/>
      <c r="K20" s="5"/>
      <c r="L20" s="5"/>
      <c r="M20" s="5"/>
      <c r="N20" s="5"/>
    </row>
    <row r="21" spans="1:14" ht="32.1" customHeight="1">
      <c r="A21" s="1">
        <f>Chu_ky!H6+(Chu_ky!B6*5/10)</f>
        <v>1</v>
      </c>
      <c r="B21" s="2">
        <f>Chu_ky!D6*(Chu_ky!G6+Chu_ky!F6*(Chu_ky!B6*5/10)+0.5*Chu_ky!E6*(Chu_ky!B6*5/10)^2)</f>
        <v>6.0000000000000005E-2</v>
      </c>
      <c r="C21" s="2">
        <f>Chu_ky!C6*(Chu_ky!D6*Tinh_toan_x2!E14*Tinh_toan_x2!E17+F21)</f>
        <v>25268.430857142859</v>
      </c>
      <c r="D21" s="2">
        <f>E21*B21*2*Tinh_toan_x2!E13/Tinh_toan_x2!E12</f>
        <v>1681.9695000000004</v>
      </c>
      <c r="E21" s="2">
        <f>C21*Tinh_toan_x2!E12/(2*Tinh_toan_x2!E15*Tinh_toan_x2!E13)+(Tinh_toan_x2!C47+Tinh_toan_x2!E52+Tinh_toan_x2!E53/Tinh_toan_x2!E13^2)*2*Tinh_toan_x2!E13/Tinh_toan_x2!E12*F21</f>
        <v>35.041031250000003</v>
      </c>
      <c r="F21" s="2">
        <f>Chu_ky!D6*(Chu_ky!F6+Chu_ky!E6*(Chu_ky!B6*5/10))</f>
        <v>6.8571428571428575E-2</v>
      </c>
      <c r="G21" s="2">
        <f>Chu_ky!D6*Chu_ky!E6</f>
        <v>0</v>
      </c>
      <c r="H21" s="2" t="str">
        <f>Chu_ky!A6</f>
        <v>Có tải tăng a</v>
      </c>
      <c r="I21" s="5"/>
      <c r="J21" s="5"/>
      <c r="K21" s="5"/>
      <c r="L21" s="5"/>
      <c r="M21" s="5"/>
      <c r="N21" s="5"/>
    </row>
    <row r="22" spans="1:14" ht="32.1" customHeight="1">
      <c r="A22" s="1">
        <f>Chu_ky!H6+(Chu_ky!B6*6/10)</f>
        <v>1.1499999999999999</v>
      </c>
      <c r="B22" s="2">
        <f>Chu_ky!D6*(Chu_ky!G6+Chu_ky!F6*(Chu_ky!B6*6/10)+0.5*Chu_ky!E6*(Chu_ky!B6*6/10)^2)</f>
        <v>7.0285714285714299E-2</v>
      </c>
      <c r="C22" s="2">
        <f>Chu_ky!C6*(Chu_ky!D6*Tinh_toan_x2!E14*Tinh_toan_x2!E17+F22)</f>
        <v>25268.430857142859</v>
      </c>
      <c r="D22" s="2">
        <f>E22*B22*2*Tinh_toan_x2!E13/Tinh_toan_x2!E12</f>
        <v>1970.3071285714291</v>
      </c>
      <c r="E22" s="2">
        <f>C22*Tinh_toan_x2!E12/(2*Tinh_toan_x2!E15*Tinh_toan_x2!E13)+(Tinh_toan_x2!C47+Tinh_toan_x2!E52+Tinh_toan_x2!E53/Tinh_toan_x2!E13^2)*2*Tinh_toan_x2!E13/Tinh_toan_x2!E12*F22</f>
        <v>35.041031250000003</v>
      </c>
      <c r="F22" s="2">
        <f>Chu_ky!D6*(Chu_ky!F6+Chu_ky!E6*(Chu_ky!B6*6/10))</f>
        <v>6.8571428571428575E-2</v>
      </c>
      <c r="G22" s="2">
        <f>Chu_ky!D6*Chu_ky!E6</f>
        <v>0</v>
      </c>
      <c r="H22" s="2" t="str">
        <f>Chu_ky!A6</f>
        <v>Có tải tăng a</v>
      </c>
      <c r="I22" s="5"/>
      <c r="J22" s="5"/>
      <c r="K22" s="5"/>
      <c r="L22" s="5"/>
      <c r="M22" s="5"/>
      <c r="N22" s="5"/>
    </row>
    <row r="23" spans="1:14" ht="32.1" customHeight="1">
      <c r="A23" s="1">
        <f>Chu_ky!H6+(Chu_ky!B6*7/10)</f>
        <v>1.3</v>
      </c>
      <c r="B23" s="2">
        <f>Chu_ky!D6*(Chu_ky!G6+Chu_ky!F6*(Chu_ky!B6*7/10)+0.5*Chu_ky!E6*(Chu_ky!B6*7/10)^2)</f>
        <v>8.0571428571428585E-2</v>
      </c>
      <c r="C23" s="2">
        <f>Chu_ky!C6*(Chu_ky!D6*Tinh_toan_x2!E14*Tinh_toan_x2!E17+F23)</f>
        <v>25268.430857142859</v>
      </c>
      <c r="D23" s="2">
        <f>E23*B23*2*Tinh_toan_x2!E13/Tinh_toan_x2!E12</f>
        <v>2258.644757142858</v>
      </c>
      <c r="E23" s="2">
        <f>C23*Tinh_toan_x2!E12/(2*Tinh_toan_x2!E15*Tinh_toan_x2!E13)+(Tinh_toan_x2!C47+Tinh_toan_x2!E52+Tinh_toan_x2!E53/Tinh_toan_x2!E13^2)*2*Tinh_toan_x2!E13/Tinh_toan_x2!E12*F23</f>
        <v>35.041031250000003</v>
      </c>
      <c r="F23" s="2">
        <f>Chu_ky!D6*(Chu_ky!F6+Chu_ky!E6*(Chu_ky!B6*7/10))</f>
        <v>6.8571428571428575E-2</v>
      </c>
      <c r="G23" s="2">
        <f>Chu_ky!D6*Chu_ky!E6</f>
        <v>0</v>
      </c>
      <c r="H23" s="2" t="str">
        <f>Chu_ky!A6</f>
        <v>Có tải tăng a</v>
      </c>
      <c r="I23" s="5"/>
      <c r="J23" s="5"/>
      <c r="K23" s="5"/>
      <c r="L23" s="5"/>
      <c r="M23" s="5"/>
      <c r="N23" s="5"/>
    </row>
    <row r="24" spans="1:14" ht="32.1" customHeight="1">
      <c r="A24" s="1">
        <f>Chu_ky!H6+(Chu_ky!B6*8/10)</f>
        <v>1.45</v>
      </c>
      <c r="B24" s="2">
        <f>Chu_ky!D6*(Chu_ky!G6+Chu_ky!F6*(Chu_ky!B6*8/10)+0.5*Chu_ky!E6*(Chu_ky!B6*8/10)^2)</f>
        <v>9.0857142857142859E-2</v>
      </c>
      <c r="C24" s="2">
        <f>Chu_ky!C6*(Chu_ky!D6*Tinh_toan_x2!E14*Tinh_toan_x2!E17+F24)</f>
        <v>25268.430857142859</v>
      </c>
      <c r="D24" s="2">
        <f>E24*B24*2*Tinh_toan_x2!E13/Tinh_toan_x2!E12</f>
        <v>2546.982385714286</v>
      </c>
      <c r="E24" s="2">
        <f>C24*Tinh_toan_x2!E12/(2*Tinh_toan_x2!E15*Tinh_toan_x2!E13)+(Tinh_toan_x2!C47+Tinh_toan_x2!E52+Tinh_toan_x2!E53/Tinh_toan_x2!E13^2)*2*Tinh_toan_x2!E13/Tinh_toan_x2!E12*F24</f>
        <v>35.041031250000003</v>
      </c>
      <c r="F24" s="2">
        <f>Chu_ky!D6*(Chu_ky!F6+Chu_ky!E6*(Chu_ky!B6*8/10))</f>
        <v>6.8571428571428575E-2</v>
      </c>
      <c r="G24" s="2">
        <f>Chu_ky!D6*Chu_ky!E6</f>
        <v>0</v>
      </c>
      <c r="H24" s="2" t="str">
        <f>Chu_ky!A6</f>
        <v>Có tải tăng a</v>
      </c>
      <c r="I24" s="5"/>
      <c r="J24" s="5"/>
      <c r="K24" s="5"/>
      <c r="L24" s="5"/>
      <c r="M24" s="5"/>
      <c r="N24" s="5"/>
    </row>
    <row r="25" spans="1:14" ht="32.1" customHeight="1">
      <c r="A25" s="1">
        <f>Chu_ky!H6+(Chu_ky!B6*9/10)</f>
        <v>1.6</v>
      </c>
      <c r="B25" s="2">
        <f>Chu_ky!D6*(Chu_ky!G6+Chu_ky!F6*(Chu_ky!B6*9/10)+0.5*Chu_ky!E6*(Chu_ky!B6*9/10)^2)</f>
        <v>0.10114285714285716</v>
      </c>
      <c r="C25" s="2">
        <f>Chu_ky!C6*(Chu_ky!D6*Tinh_toan_x2!E14*Tinh_toan_x2!E17+F25)</f>
        <v>25268.430857142859</v>
      </c>
      <c r="D25" s="2">
        <f>E25*B25*2*Tinh_toan_x2!E13/Tinh_toan_x2!E12</f>
        <v>2835.3200142857149</v>
      </c>
      <c r="E25" s="2">
        <f>C25*Tinh_toan_x2!E12/(2*Tinh_toan_x2!E15*Tinh_toan_x2!E13)+(Tinh_toan_x2!C47+Tinh_toan_x2!E52+Tinh_toan_x2!E53/Tinh_toan_x2!E13^2)*2*Tinh_toan_x2!E13/Tinh_toan_x2!E12*F25</f>
        <v>35.041031250000003</v>
      </c>
      <c r="F25" s="2">
        <f>Chu_ky!D6*(Chu_ky!F6+Chu_ky!E6*(Chu_ky!B6*9/10))</f>
        <v>6.8571428571428575E-2</v>
      </c>
      <c r="G25" s="2">
        <f>Chu_ky!D6*Chu_ky!E6</f>
        <v>0</v>
      </c>
      <c r="H25" s="2" t="str">
        <f>Chu_ky!A6</f>
        <v>Có tải tăng a</v>
      </c>
      <c r="I25" s="5"/>
      <c r="J25" s="5"/>
      <c r="K25" s="5"/>
      <c r="L25" s="5"/>
      <c r="M25" s="5"/>
      <c r="N25" s="5"/>
    </row>
    <row r="26" spans="1:14" ht="32.1" customHeight="1">
      <c r="A26" s="1">
        <f>Chu_ky!H6+(Chu_ky!B6*10/10)</f>
        <v>1.75</v>
      </c>
      <c r="B26" s="2">
        <f>Chu_ky!D6*(Chu_ky!G6+Chu_ky!F6*(Chu_ky!B6*10/10)+0.5*Chu_ky!E6*(Chu_ky!B6*10/10)^2)</f>
        <v>0.11142857142857145</v>
      </c>
      <c r="C26" s="2">
        <f>Chu_ky!C6*(Chu_ky!D6*Tinh_toan_x2!E14*Tinh_toan_x2!E17+F26)</f>
        <v>25268.430857142859</v>
      </c>
      <c r="D26" s="2">
        <f>E26*B26*2*Tinh_toan_x2!E13/Tinh_toan_x2!E12</f>
        <v>3123.6576428571434</v>
      </c>
      <c r="E26" s="2">
        <f>C26*Tinh_toan_x2!E12/(2*Tinh_toan_x2!E15*Tinh_toan_x2!E13)+(Tinh_toan_x2!C47+Tinh_toan_x2!E52+Tinh_toan_x2!E53/Tinh_toan_x2!E13^2)*2*Tinh_toan_x2!E13/Tinh_toan_x2!E12*F26</f>
        <v>35.041031250000003</v>
      </c>
      <c r="F26" s="2">
        <f>Chu_ky!D6*(Chu_ky!F6+Chu_ky!E6*(Chu_ky!B6*10/10))</f>
        <v>6.8571428571428575E-2</v>
      </c>
      <c r="G26" s="2">
        <f>Chu_ky!D6*Chu_ky!E6</f>
        <v>0</v>
      </c>
      <c r="H26" s="2" t="str">
        <f>Chu_ky!A6</f>
        <v>Có tải tăng a</v>
      </c>
      <c r="I26" s="5"/>
      <c r="J26" s="5"/>
      <c r="K26" s="5"/>
      <c r="L26" s="5"/>
      <c r="M26" s="5"/>
      <c r="N26" s="5"/>
    </row>
    <row r="27" spans="1:14" ht="32.1" customHeight="1">
      <c r="A27" s="1">
        <f>Chu_ky!H7+(Chu_ky!B7*0/10)</f>
        <v>1.75</v>
      </c>
      <c r="B27" s="2">
        <f>Chu_ky!D7*(Chu_ky!G7+Chu_ky!F7*(Chu_ky!B7*0/10)+0.5*Chu_ky!E7*(Chu_ky!B7*0/10)^2)</f>
        <v>0.11142857142857145</v>
      </c>
      <c r="C27" s="2">
        <f>Chu_ky!C7*(Chu_ky!D7*Tinh_toan_x2!E14*Tinh_toan_x2!E17+F27)</f>
        <v>25268.430857142859</v>
      </c>
      <c r="D27" s="2">
        <f>E27*B27*2*Tinh_toan_x2!E13/Tinh_toan_x2!E12</f>
        <v>3123.6576428571434</v>
      </c>
      <c r="E27" s="2">
        <f>C27*Tinh_toan_x2!E12/(2*Tinh_toan_x2!E15*Tinh_toan_x2!E13)+(Tinh_toan_x2!C47+Tinh_toan_x2!E52+Tinh_toan_x2!E53/Tinh_toan_x2!E13^2)*2*Tinh_toan_x2!E13/Tinh_toan_x2!E12*F27</f>
        <v>35.041031250000003</v>
      </c>
      <c r="F27" s="2">
        <f>Chu_ky!D7*(Chu_ky!F7+Chu_ky!E7*(Chu_ky!B7*0/10))</f>
        <v>6.8571428571428575E-2</v>
      </c>
      <c r="G27" s="2">
        <f>Chu_ky!D7*Chu_ky!E7</f>
        <v>-0.2742857142857143</v>
      </c>
      <c r="H27" s="2" t="str">
        <f>Chu_ky!A7</f>
        <v>Có tải tăng j-</v>
      </c>
      <c r="I27" s="5"/>
      <c r="J27" s="5"/>
      <c r="K27" s="5"/>
      <c r="L27" s="5"/>
      <c r="M27" s="5"/>
      <c r="N27" s="5"/>
    </row>
    <row r="28" spans="1:14" ht="32.1" customHeight="1">
      <c r="A28" s="1">
        <f>Chu_ky!H7+(Chu_ky!B7*1/10)</f>
        <v>1.7749999999999999</v>
      </c>
      <c r="B28" s="2">
        <f>Chu_ky!D7*(Chu_ky!G7+Chu_ky!F7*(Chu_ky!B7*1/10)+0.5*Chu_ky!E7*(Chu_ky!B7*1/10)^2)</f>
        <v>0.11305714285714287</v>
      </c>
      <c r="C28" s="2">
        <f>Chu_ky!C7*(Chu_ky!D7*Tinh_toan_x2!E14*Tinh_toan_x2!E17+F28)</f>
        <v>25183.100571428575</v>
      </c>
      <c r="D28" s="2">
        <f>E28*B28*2*Tinh_toan_x2!E13/Tinh_toan_x2!E12</f>
        <v>3139.9117212857154</v>
      </c>
      <c r="E28" s="2">
        <f>C28*Tinh_toan_x2!E12/(2*Tinh_toan_x2!E15*Tinh_toan_x2!E13)+(Tinh_toan_x2!C47+Tinh_toan_x2!E52+Tinh_toan_x2!E53/Tinh_toan_x2!E13^2)*2*Tinh_toan_x2!E13/Tinh_toan_x2!E12*F28</f>
        <v>34.715981250000006</v>
      </c>
      <c r="F28" s="2">
        <f>Chu_ky!D7*(Chu_ky!F7+Chu_ky!E7*(Chu_ky!B7*1/10))</f>
        <v>6.1714285714285715E-2</v>
      </c>
      <c r="G28" s="2">
        <f>Chu_ky!D7*Chu_ky!E7</f>
        <v>-0.2742857142857143</v>
      </c>
      <c r="H28" s="2" t="str">
        <f>Chu_ky!A7</f>
        <v>Có tải tăng j-</v>
      </c>
      <c r="I28" s="5"/>
      <c r="J28" s="5"/>
      <c r="K28" s="5"/>
      <c r="L28" s="5"/>
      <c r="M28" s="5"/>
      <c r="N28" s="5"/>
    </row>
    <row r="29" spans="1:14" ht="32.1" customHeight="1">
      <c r="A29" s="1">
        <f>Chu_ky!H7+(Chu_ky!B7*2/10)</f>
        <v>1.8</v>
      </c>
      <c r="B29" s="2">
        <f>Chu_ky!D7*(Chu_ky!G7+Chu_ky!F7*(Chu_ky!B7*2/10)+0.5*Chu_ky!E7*(Chu_ky!B7*2/10)^2)</f>
        <v>0.11451428571428574</v>
      </c>
      <c r="C29" s="2">
        <f>Chu_ky!C7*(Chu_ky!D7*Tinh_toan_x2!E14*Tinh_toan_x2!E17+F29)</f>
        <v>25097.770285714287</v>
      </c>
      <c r="D29" s="2">
        <f>E29*B29*2*Tinh_toan_x2!E13/Tinh_toan_x2!E12</f>
        <v>3150.6023417142865</v>
      </c>
      <c r="E29" s="2">
        <f>C29*Tinh_toan_x2!E12/(2*Tinh_toan_x2!E15*Tinh_toan_x2!E13)+(Tinh_toan_x2!C47+Tinh_toan_x2!E52+Tinh_toan_x2!E53/Tinh_toan_x2!E13^2)*2*Tinh_toan_x2!E13/Tinh_toan_x2!E12*F29</f>
        <v>34.390931250000001</v>
      </c>
      <c r="F29" s="2">
        <f>Chu_ky!D7*(Chu_ky!F7+Chu_ky!E7*(Chu_ky!B7*2/10))</f>
        <v>5.4857142857142861E-2</v>
      </c>
      <c r="G29" s="2">
        <f>Chu_ky!D7*Chu_ky!E7</f>
        <v>-0.2742857142857143</v>
      </c>
      <c r="H29" s="2" t="str">
        <f>Chu_ky!A7</f>
        <v>Có tải tăng j-</v>
      </c>
      <c r="I29" s="5"/>
      <c r="J29" s="5"/>
      <c r="K29" s="5"/>
      <c r="L29" s="5"/>
      <c r="M29" s="5"/>
      <c r="N29" s="5"/>
    </row>
    <row r="30" spans="1:14" ht="32.1" customHeight="1">
      <c r="A30" s="1">
        <f>Chu_ky!H7+(Chu_ky!B7*3/10)</f>
        <v>1.825</v>
      </c>
      <c r="B30" s="2">
        <f>Chu_ky!D7*(Chu_ky!G7+Chu_ky!F7*(Chu_ky!B7*3/10)+0.5*Chu_ky!E7*(Chu_ky!B7*3/10)^2)</f>
        <v>0.11580000000000001</v>
      </c>
      <c r="C30" s="2">
        <f>Chu_ky!C7*(Chu_ky!D7*Tinh_toan_x2!E14*Tinh_toan_x2!E17+F30)</f>
        <v>25012.440000000002</v>
      </c>
      <c r="D30" s="2">
        <f>E30*B30*2*Tinh_toan_x2!E13/Tinh_toan_x2!E12</f>
        <v>3155.8632390000007</v>
      </c>
      <c r="E30" s="2">
        <f>C30*Tinh_toan_x2!E12/(2*Tinh_toan_x2!E15*Tinh_toan_x2!E13)+(Tinh_toan_x2!C47+Tinh_toan_x2!E52+Tinh_toan_x2!E53/Tinh_toan_x2!E13^2)*2*Tinh_toan_x2!E13/Tinh_toan_x2!E12*F30</f>
        <v>34.065881250000004</v>
      </c>
      <c r="F30" s="2">
        <f>Chu_ky!D7*(Chu_ky!F7+Chu_ky!E7*(Chu_ky!B7*3/10))</f>
        <v>4.8000000000000001E-2</v>
      </c>
      <c r="G30" s="2">
        <f>Chu_ky!D7*Chu_ky!E7</f>
        <v>-0.2742857142857143</v>
      </c>
      <c r="H30" s="2" t="str">
        <f>Chu_ky!A7</f>
        <v>Có tải tăng j-</v>
      </c>
      <c r="I30" s="5"/>
      <c r="J30" s="5"/>
      <c r="K30" s="5"/>
      <c r="L30" s="5"/>
      <c r="M30" s="5"/>
      <c r="N30" s="5"/>
    </row>
    <row r="31" spans="1:14" ht="32.1" customHeight="1">
      <c r="A31" s="1">
        <f>Chu_ky!H7+(Chu_ky!B7*4/10)</f>
        <v>1.85</v>
      </c>
      <c r="B31" s="2">
        <f>Chu_ky!D7*(Chu_ky!G7+Chu_ky!F7*(Chu_ky!B7*4/10)+0.5*Chu_ky!E7*(Chu_ky!B7*4/10)^2)</f>
        <v>0.11691428571428573</v>
      </c>
      <c r="C31" s="2">
        <f>Chu_ky!C7*(Chu_ky!D7*Tinh_toan_x2!E14*Tinh_toan_x2!E17+F31)</f>
        <v>24927.109714285718</v>
      </c>
      <c r="D31" s="2">
        <f>E31*B31*2*Tinh_toan_x2!E13/Tinh_toan_x2!E12</f>
        <v>3155.8281480000014</v>
      </c>
      <c r="E31" s="2">
        <f>C31*Tinh_toan_x2!E12/(2*Tinh_toan_x2!E15*Tinh_toan_x2!E13)+(Tinh_toan_x2!C47+Tinh_toan_x2!E52+Tinh_toan_x2!E53/Tinh_toan_x2!E13^2)*2*Tinh_toan_x2!E13/Tinh_toan_x2!E12*F31</f>
        <v>33.740831250000006</v>
      </c>
      <c r="F31" s="2">
        <f>Chu_ky!D7*(Chu_ky!F7+Chu_ky!E7*(Chu_ky!B7*4/10))</f>
        <v>4.1142857142857148E-2</v>
      </c>
      <c r="G31" s="2">
        <f>Chu_ky!D7*Chu_ky!E7</f>
        <v>-0.2742857142857143</v>
      </c>
      <c r="H31" s="2" t="str">
        <f>Chu_ky!A7</f>
        <v>Có tải tăng j-</v>
      </c>
      <c r="I31" s="5"/>
      <c r="J31" s="5"/>
      <c r="K31" s="5"/>
      <c r="L31" s="5"/>
      <c r="M31" s="5"/>
      <c r="N31" s="5"/>
    </row>
    <row r="32" spans="1:14" ht="32.1" customHeight="1">
      <c r="A32" s="1">
        <f>Chu_ky!H7+(Chu_ky!B7*5/10)</f>
        <v>1.875</v>
      </c>
      <c r="B32" s="2">
        <f>Chu_ky!D7*(Chu_ky!G7+Chu_ky!F7*(Chu_ky!B7*5/10)+0.5*Chu_ky!E7*(Chu_ky!B7*5/10)^2)</f>
        <v>0.11785714285714288</v>
      </c>
      <c r="C32" s="2">
        <f>Chu_ky!C7*(Chu_ky!D7*Tinh_toan_x2!E14*Tinh_toan_x2!E17+F32)</f>
        <v>24841.77942857143</v>
      </c>
      <c r="D32" s="2">
        <f>E32*B32*2*Tinh_toan_x2!E13/Tinh_toan_x2!E12</f>
        <v>3150.6308035714296</v>
      </c>
      <c r="E32" s="2">
        <f>C32*Tinh_toan_x2!E12/(2*Tinh_toan_x2!E15*Tinh_toan_x2!E13)+(Tinh_toan_x2!C47+Tinh_toan_x2!E52+Tinh_toan_x2!E53/Tinh_toan_x2!E13^2)*2*Tinh_toan_x2!E13/Tinh_toan_x2!E12*F32</f>
        <v>33.415781250000002</v>
      </c>
      <c r="F32" s="2">
        <f>Chu_ky!D7*(Chu_ky!F7+Chu_ky!E7*(Chu_ky!B7*5/10))</f>
        <v>3.4285714285714287E-2</v>
      </c>
      <c r="G32" s="2">
        <f>Chu_ky!D7*Chu_ky!E7</f>
        <v>-0.2742857142857143</v>
      </c>
      <c r="H32" s="2" t="str">
        <f>Chu_ky!A7</f>
        <v>Có tải tăng j-</v>
      </c>
      <c r="I32" s="5"/>
      <c r="J32" s="5"/>
      <c r="K32" s="5"/>
      <c r="L32" s="5"/>
      <c r="M32" s="5"/>
      <c r="N32" s="5"/>
    </row>
    <row r="33" spans="1:14" ht="32.1" customHeight="1">
      <c r="A33" s="1">
        <f>Chu_ky!H7+(Chu_ky!B7*6/10)</f>
        <v>1.9</v>
      </c>
      <c r="B33" s="2">
        <f>Chu_ky!D7*(Chu_ky!G7+Chu_ky!F7*(Chu_ky!B7*6/10)+0.5*Chu_ky!E7*(Chu_ky!B7*6/10)^2)</f>
        <v>0.11862857142857144</v>
      </c>
      <c r="C33" s="2">
        <f>Chu_ky!C7*(Chu_ky!D7*Tinh_toan_x2!E14*Tinh_toan_x2!E17+F33)</f>
        <v>24756.449142857145</v>
      </c>
      <c r="D33" s="2">
        <f>E33*B33*2*Tinh_toan_x2!E13/Tinh_toan_x2!E12</f>
        <v>3140.4049405714295</v>
      </c>
      <c r="E33" s="2">
        <f>C33*Tinh_toan_x2!E12/(2*Tinh_toan_x2!E15*Tinh_toan_x2!E13)+(Tinh_toan_x2!C47+Tinh_toan_x2!E52+Tinh_toan_x2!E53/Tinh_toan_x2!E13^2)*2*Tinh_toan_x2!E13/Tinh_toan_x2!E12*F33</f>
        <v>33.090731250000005</v>
      </c>
      <c r="F33" s="2">
        <f>Chu_ky!D7*(Chu_ky!F7+Chu_ky!E7*(Chu_ky!B7*6/10))</f>
        <v>2.7428571428571434E-2</v>
      </c>
      <c r="G33" s="2">
        <f>Chu_ky!D7*Chu_ky!E7</f>
        <v>-0.2742857142857143</v>
      </c>
      <c r="H33" s="2" t="str">
        <f>Chu_ky!A7</f>
        <v>Có tải tăng j-</v>
      </c>
      <c r="I33" s="5"/>
      <c r="J33" s="5"/>
      <c r="K33" s="5"/>
      <c r="L33" s="5"/>
      <c r="M33" s="5"/>
      <c r="N33" s="5"/>
    </row>
    <row r="34" spans="1:14" ht="32.1" customHeight="1">
      <c r="A34" s="1">
        <f>Chu_ky!H7+(Chu_ky!B7*7/10)</f>
        <v>1.925</v>
      </c>
      <c r="B34" s="2">
        <f>Chu_ky!D7*(Chu_ky!G7+Chu_ky!F7*(Chu_ky!B7*7/10)+0.5*Chu_ky!E7*(Chu_ky!B7*7/10)^2)</f>
        <v>0.11922857142857145</v>
      </c>
      <c r="C34" s="2">
        <f>Chu_ky!C7*(Chu_ky!D7*Tinh_toan_x2!E14*Tinh_toan_x2!E17+F34)</f>
        <v>24671.118857142857</v>
      </c>
      <c r="D34" s="2">
        <f>E34*B34*2*Tinh_toan_x2!E13/Tinh_toan_x2!E12</f>
        <v>3125.2842938571434</v>
      </c>
      <c r="E34" s="2">
        <f>C34*Tinh_toan_x2!E12/(2*Tinh_toan_x2!E15*Tinh_toan_x2!E13)+(Tinh_toan_x2!C47+Tinh_toan_x2!E52+Tinh_toan_x2!E53/Tinh_toan_x2!E13^2)*2*Tinh_toan_x2!E13/Tinh_toan_x2!E12*F34</f>
        <v>32.76568125</v>
      </c>
      <c r="F34" s="2">
        <f>Chu_ky!D7*(Chu_ky!F7+Chu_ky!E7*(Chu_ky!B7*7/10))</f>
        <v>2.0571428571428574E-2</v>
      </c>
      <c r="G34" s="2">
        <f>Chu_ky!D7*Chu_ky!E7</f>
        <v>-0.2742857142857143</v>
      </c>
      <c r="H34" s="2" t="str">
        <f>Chu_ky!A7</f>
        <v>Có tải tăng j-</v>
      </c>
      <c r="I34" s="5"/>
      <c r="J34" s="5"/>
      <c r="K34" s="5"/>
      <c r="L34" s="5"/>
      <c r="M34" s="5"/>
      <c r="N34" s="5"/>
    </row>
    <row r="35" spans="1:14" ht="32.1" customHeight="1">
      <c r="A35" s="1">
        <f>Chu_ky!H7+(Chu_ky!B7*8/10)</f>
        <v>1.95</v>
      </c>
      <c r="B35" s="2">
        <f>Chu_ky!D7*(Chu_ky!G7+Chu_ky!F7*(Chu_ky!B7*8/10)+0.5*Chu_ky!E7*(Chu_ky!B7*8/10)^2)</f>
        <v>0.11965714285714288</v>
      </c>
      <c r="C35" s="2">
        <f>Chu_ky!C7*(Chu_ky!D7*Tinh_toan_x2!E14*Tinh_toan_x2!E17+F35)</f>
        <v>24585.788571428573</v>
      </c>
      <c r="D35" s="2">
        <f>E35*B35*2*Tinh_toan_x2!E13/Tinh_toan_x2!E12</f>
        <v>3105.4025982857152</v>
      </c>
      <c r="E35" s="2">
        <f>C35*Tinh_toan_x2!E12/(2*Tinh_toan_x2!E15*Tinh_toan_x2!E13)+(Tinh_toan_x2!C47+Tinh_toan_x2!E52+Tinh_toan_x2!E53/Tinh_toan_x2!E13^2)*2*Tinh_toan_x2!E13/Tinh_toan_x2!E12*F35</f>
        <v>32.440631250000003</v>
      </c>
      <c r="F35" s="2">
        <f>Chu_ky!D7*(Chu_ky!F7+Chu_ky!E7*(Chu_ky!B7*8/10))</f>
        <v>1.3714285714285714E-2</v>
      </c>
      <c r="G35" s="2">
        <f>Chu_ky!D7*Chu_ky!E7</f>
        <v>-0.2742857142857143</v>
      </c>
      <c r="H35" s="2" t="str">
        <f>Chu_ky!A7</f>
        <v>Có tải tăng j-</v>
      </c>
      <c r="I35" s="5"/>
      <c r="J35" s="5"/>
      <c r="K35" s="5"/>
      <c r="L35" s="5"/>
      <c r="M35" s="5"/>
      <c r="N35" s="5"/>
    </row>
    <row r="36" spans="1:14" ht="32.1" customHeight="1">
      <c r="A36" s="1">
        <f>Chu_ky!H7+(Chu_ky!B7*9/10)</f>
        <v>1.9750000000000001</v>
      </c>
      <c r="B36" s="2">
        <f>Chu_ky!D7*(Chu_ky!G7+Chu_ky!F7*(Chu_ky!B7*9/10)+0.5*Chu_ky!E7*(Chu_ky!B7*9/10)^2)</f>
        <v>0.11991428571428575</v>
      </c>
      <c r="C36" s="2">
        <f>Chu_ky!C7*(Chu_ky!D7*Tinh_toan_x2!E14*Tinh_toan_x2!E17+F36)</f>
        <v>24500.458285714289</v>
      </c>
      <c r="D36" s="2">
        <f>E36*B36*2*Tinh_toan_x2!E13/Tinh_toan_x2!E12</f>
        <v>3080.8935887142875</v>
      </c>
      <c r="E36" s="2">
        <f>C36*Tinh_toan_x2!E12/(2*Tinh_toan_x2!E15*Tinh_toan_x2!E13)+(Tinh_toan_x2!C47+Tinh_toan_x2!E52+Tinh_toan_x2!E53/Tinh_toan_x2!E13^2)*2*Tinh_toan_x2!E13/Tinh_toan_x2!E12*F36</f>
        <v>32.115581250000005</v>
      </c>
      <c r="F36" s="2">
        <f>Chu_ky!D7*(Chu_ky!F7+Chu_ky!E7*(Chu_ky!B7*9/10))</f>
        <v>6.8571428571428533E-3</v>
      </c>
      <c r="G36" s="2">
        <f>Chu_ky!D7*Chu_ky!E7</f>
        <v>-0.2742857142857143</v>
      </c>
      <c r="H36" s="2" t="str">
        <f>Chu_ky!A7</f>
        <v>Có tải tăng j-</v>
      </c>
      <c r="I36" s="5"/>
      <c r="J36" s="5"/>
      <c r="K36" s="5"/>
      <c r="L36" s="5"/>
      <c r="M36" s="5"/>
      <c r="N36" s="5"/>
    </row>
    <row r="37" spans="1:14" ht="32.1" customHeight="1">
      <c r="A37" s="1">
        <f>Chu_ky!H7+(Chu_ky!B7*10/10)</f>
        <v>2</v>
      </c>
      <c r="B37" s="2">
        <f>Chu_ky!D7*(Chu_ky!G7+Chu_ky!F7*(Chu_ky!B7*10/10)+0.5*Chu_ky!E7*(Chu_ky!B7*10/10)^2)</f>
        <v>0.12000000000000001</v>
      </c>
      <c r="C37" s="2">
        <f>Chu_ky!C7*(Chu_ky!D7*Tinh_toan_x2!E14*Tinh_toan_x2!E17+F37)</f>
        <v>24415.128000000001</v>
      </c>
      <c r="D37" s="2">
        <f>E37*B37*2*Tinh_toan_x2!E13/Tinh_toan_x2!E12</f>
        <v>3051.8910000000001</v>
      </c>
      <c r="E37" s="2">
        <f>C37*Tinh_toan_x2!E12/(2*Tinh_toan_x2!E15*Tinh_toan_x2!E13)+(Tinh_toan_x2!C47+Tinh_toan_x2!E52+Tinh_toan_x2!E53/Tinh_toan_x2!E13^2)*2*Tinh_toan_x2!E13/Tinh_toan_x2!E12*F37</f>
        <v>31.790531250000001</v>
      </c>
      <c r="F37" s="2">
        <f>Chu_ky!D7*(Chu_ky!F7+Chu_ky!E7*(Chu_ky!B7*10/10))</f>
        <v>0</v>
      </c>
      <c r="G37" s="2">
        <f>Chu_ky!D7*Chu_ky!E7</f>
        <v>-0.2742857142857143</v>
      </c>
      <c r="H37" s="2" t="str">
        <f>Chu_ky!A7</f>
        <v>Có tải tăng j-</v>
      </c>
      <c r="I37" s="5"/>
      <c r="J37" s="5"/>
      <c r="K37" s="5"/>
      <c r="L37" s="5"/>
      <c r="M37" s="5"/>
      <c r="N37" s="5"/>
    </row>
    <row r="38" spans="1:14" ht="32.1" customHeight="1">
      <c r="A38" s="1">
        <f>Chu_ky!H8+(Chu_ky!B8*0/10)</f>
        <v>2</v>
      </c>
      <c r="B38" s="2">
        <f>Chu_ky!D8*(Chu_ky!G8+Chu_ky!F8*(Chu_ky!B8*0/10)+0.5*Chu_ky!E8*(Chu_ky!B8*0/10)^2)</f>
        <v>0.12000000000000001</v>
      </c>
      <c r="C38" s="2">
        <f>Chu_ky!C8*(Chu_ky!D8*Tinh_toan_x2!E14*Tinh_toan_x2!E17+F38)</f>
        <v>24415.128000000001</v>
      </c>
      <c r="D38" s="2">
        <f>E38*B38*2*Tinh_toan_x2!E13/Tinh_toan_x2!E12</f>
        <v>3051.8910000000001</v>
      </c>
      <c r="E38" s="2">
        <f>C38*Tinh_toan_x2!E12/(2*Tinh_toan_x2!E15*Tinh_toan_x2!E13)+(Tinh_toan_x2!C47+Tinh_toan_x2!E52+Tinh_toan_x2!E53/Tinh_toan_x2!E13^2)*2*Tinh_toan_x2!E13/Tinh_toan_x2!E12*F38</f>
        <v>31.790531250000001</v>
      </c>
      <c r="F38" s="2">
        <f>Chu_ky!D8*(Chu_ky!F8+Chu_ky!E8*(Chu_ky!B8*0/10))</f>
        <v>0</v>
      </c>
      <c r="G38" s="2">
        <f>Chu_ky!D8*Chu_ky!E8</f>
        <v>0</v>
      </c>
      <c r="H38" s="2" t="str">
        <f>Chu_ky!A8</f>
        <v>Có tải đều</v>
      </c>
      <c r="I38" s="5"/>
      <c r="J38" s="5"/>
      <c r="K38" s="5"/>
      <c r="L38" s="5"/>
      <c r="M38" s="5"/>
      <c r="N38" s="5"/>
    </row>
    <row r="39" spans="1:14" ht="32.1" customHeight="1">
      <c r="A39" s="1">
        <f>Chu_ky!H8+(Chu_ky!B8*1/10)</f>
        <v>10</v>
      </c>
      <c r="B39" s="2">
        <f>Chu_ky!D8*(Chu_ky!G8+Chu_ky!F8*(Chu_ky!B8*1/10)+0.5*Chu_ky!E8*(Chu_ky!B8*1/10)^2)</f>
        <v>0.12000000000000001</v>
      </c>
      <c r="C39" s="2">
        <f>Chu_ky!C8*(Chu_ky!D8*Tinh_toan_x2!E14*Tinh_toan_x2!E17+F39)</f>
        <v>24415.128000000001</v>
      </c>
      <c r="D39" s="2">
        <f>E39*B39*2*Tinh_toan_x2!E13/Tinh_toan_x2!E12</f>
        <v>3051.8910000000001</v>
      </c>
      <c r="E39" s="2">
        <f>C39*Tinh_toan_x2!E12/(2*Tinh_toan_x2!E15*Tinh_toan_x2!E13)+(Tinh_toan_x2!C47+Tinh_toan_x2!E52+Tinh_toan_x2!E53/Tinh_toan_x2!E13^2)*2*Tinh_toan_x2!E13/Tinh_toan_x2!E12*F39</f>
        <v>31.790531250000001</v>
      </c>
      <c r="F39" s="2">
        <f>Chu_ky!D8*(Chu_ky!F8+Chu_ky!E8*(Chu_ky!B8*1/10))</f>
        <v>0</v>
      </c>
      <c r="G39" s="2">
        <f>Chu_ky!D8*Chu_ky!E8</f>
        <v>0</v>
      </c>
      <c r="H39" s="2" t="str">
        <f>Chu_ky!A8</f>
        <v>Có tải đều</v>
      </c>
      <c r="I39" s="5"/>
      <c r="J39" s="5"/>
      <c r="K39" s="5"/>
      <c r="L39" s="5"/>
      <c r="M39" s="5"/>
      <c r="N39" s="5"/>
    </row>
    <row r="40" spans="1:14" ht="32.1" customHeight="1">
      <c r="A40" s="1">
        <f>Chu_ky!H8+(Chu_ky!B8*2/10)</f>
        <v>18</v>
      </c>
      <c r="B40" s="2">
        <f>Chu_ky!D8*(Chu_ky!G8+Chu_ky!F8*(Chu_ky!B8*2/10)+0.5*Chu_ky!E8*(Chu_ky!B8*2/10)^2)</f>
        <v>0.12000000000000001</v>
      </c>
      <c r="C40" s="2">
        <f>Chu_ky!C8*(Chu_ky!D8*Tinh_toan_x2!E14*Tinh_toan_x2!E17+F40)</f>
        <v>24415.128000000001</v>
      </c>
      <c r="D40" s="2">
        <f>E40*B40*2*Tinh_toan_x2!E13/Tinh_toan_x2!E12</f>
        <v>3051.8910000000001</v>
      </c>
      <c r="E40" s="2">
        <f>C40*Tinh_toan_x2!E12/(2*Tinh_toan_x2!E15*Tinh_toan_x2!E13)+(Tinh_toan_x2!C47+Tinh_toan_x2!E52+Tinh_toan_x2!E53/Tinh_toan_x2!E13^2)*2*Tinh_toan_x2!E13/Tinh_toan_x2!E12*F40</f>
        <v>31.790531250000001</v>
      </c>
      <c r="F40" s="2">
        <f>Chu_ky!D8*(Chu_ky!F8+Chu_ky!E8*(Chu_ky!B8*2/10))</f>
        <v>0</v>
      </c>
      <c r="G40" s="2">
        <f>Chu_ky!D8*Chu_ky!E8</f>
        <v>0</v>
      </c>
      <c r="H40" s="2" t="str">
        <f>Chu_ky!A8</f>
        <v>Có tải đều</v>
      </c>
      <c r="I40" s="5"/>
      <c r="J40" s="5"/>
      <c r="K40" s="5"/>
      <c r="L40" s="5"/>
      <c r="M40" s="5"/>
      <c r="N40" s="5"/>
    </row>
    <row r="41" spans="1:14" ht="32.1" customHeight="1">
      <c r="A41" s="1">
        <f>Chu_ky!H8+(Chu_ky!B8*3/10)</f>
        <v>26</v>
      </c>
      <c r="B41" s="2">
        <f>Chu_ky!D8*(Chu_ky!G8+Chu_ky!F8*(Chu_ky!B8*3/10)+0.5*Chu_ky!E8*(Chu_ky!B8*3/10)^2)</f>
        <v>0.12000000000000001</v>
      </c>
      <c r="C41" s="2">
        <f>Chu_ky!C8*(Chu_ky!D8*Tinh_toan_x2!E14*Tinh_toan_x2!E17+F41)</f>
        <v>24415.128000000001</v>
      </c>
      <c r="D41" s="2">
        <f>E41*B41*2*Tinh_toan_x2!E13/Tinh_toan_x2!E12</f>
        <v>3051.8910000000001</v>
      </c>
      <c r="E41" s="2">
        <f>C41*Tinh_toan_x2!E12/(2*Tinh_toan_x2!E15*Tinh_toan_x2!E13)+(Tinh_toan_x2!C47+Tinh_toan_x2!E52+Tinh_toan_x2!E53/Tinh_toan_x2!E13^2)*2*Tinh_toan_x2!E13/Tinh_toan_x2!E12*F41</f>
        <v>31.790531250000001</v>
      </c>
      <c r="F41" s="2">
        <f>Chu_ky!D8*(Chu_ky!F8+Chu_ky!E8*(Chu_ky!B8*3/10))</f>
        <v>0</v>
      </c>
      <c r="G41" s="2">
        <f>Chu_ky!D8*Chu_ky!E8</f>
        <v>0</v>
      </c>
      <c r="H41" s="2" t="str">
        <f>Chu_ky!A8</f>
        <v>Có tải đều</v>
      </c>
      <c r="I41" s="5"/>
      <c r="J41" s="5"/>
      <c r="K41" s="5"/>
      <c r="L41" s="5"/>
      <c r="M41" s="5"/>
      <c r="N41" s="5"/>
    </row>
    <row r="42" spans="1:14" ht="32.1" customHeight="1">
      <c r="A42" s="1">
        <f>Chu_ky!H8+(Chu_ky!B8*4/10)</f>
        <v>34</v>
      </c>
      <c r="B42" s="2">
        <f>Chu_ky!D8*(Chu_ky!G8+Chu_ky!F8*(Chu_ky!B8*4/10)+0.5*Chu_ky!E8*(Chu_ky!B8*4/10)^2)</f>
        <v>0.12000000000000001</v>
      </c>
      <c r="C42" s="2">
        <f>Chu_ky!C8*(Chu_ky!D8*Tinh_toan_x2!E14*Tinh_toan_x2!E17+F42)</f>
        <v>24415.128000000001</v>
      </c>
      <c r="D42" s="2">
        <f>E42*B42*2*Tinh_toan_x2!E13/Tinh_toan_x2!E12</f>
        <v>3051.8910000000001</v>
      </c>
      <c r="E42" s="2">
        <f>C42*Tinh_toan_x2!E12/(2*Tinh_toan_x2!E15*Tinh_toan_x2!E13)+(Tinh_toan_x2!C47+Tinh_toan_x2!E52+Tinh_toan_x2!E53/Tinh_toan_x2!E13^2)*2*Tinh_toan_x2!E13/Tinh_toan_x2!E12*F42</f>
        <v>31.790531250000001</v>
      </c>
      <c r="F42" s="2">
        <f>Chu_ky!D8*(Chu_ky!F8+Chu_ky!E8*(Chu_ky!B8*4/10))</f>
        <v>0</v>
      </c>
      <c r="G42" s="2">
        <f>Chu_ky!D8*Chu_ky!E8</f>
        <v>0</v>
      </c>
      <c r="H42" s="2" t="str">
        <f>Chu_ky!A8</f>
        <v>Có tải đều</v>
      </c>
      <c r="I42" s="5"/>
      <c r="J42" s="5"/>
      <c r="K42" s="5"/>
      <c r="L42" s="5"/>
      <c r="M42" s="5"/>
      <c r="N42" s="5"/>
    </row>
    <row r="43" spans="1:14" ht="32.1" customHeight="1">
      <c r="A43" s="1">
        <f>Chu_ky!H8+(Chu_ky!B8*5/10)</f>
        <v>42</v>
      </c>
      <c r="B43" s="2">
        <f>Chu_ky!D8*(Chu_ky!G8+Chu_ky!F8*(Chu_ky!B8*5/10)+0.5*Chu_ky!E8*(Chu_ky!B8*5/10)^2)</f>
        <v>0.12000000000000001</v>
      </c>
      <c r="C43" s="2">
        <f>Chu_ky!C8*(Chu_ky!D8*Tinh_toan_x2!E14*Tinh_toan_x2!E17+F43)</f>
        <v>24415.128000000001</v>
      </c>
      <c r="D43" s="2">
        <f>E43*B43*2*Tinh_toan_x2!E13/Tinh_toan_x2!E12</f>
        <v>3051.8910000000001</v>
      </c>
      <c r="E43" s="2">
        <f>C43*Tinh_toan_x2!E12/(2*Tinh_toan_x2!E15*Tinh_toan_x2!E13)+(Tinh_toan_x2!C47+Tinh_toan_x2!E52+Tinh_toan_x2!E53/Tinh_toan_x2!E13^2)*2*Tinh_toan_x2!E13/Tinh_toan_x2!E12*F43</f>
        <v>31.790531250000001</v>
      </c>
      <c r="F43" s="2">
        <f>Chu_ky!D8*(Chu_ky!F8+Chu_ky!E8*(Chu_ky!B8*5/10))</f>
        <v>0</v>
      </c>
      <c r="G43" s="2">
        <f>Chu_ky!D8*Chu_ky!E8</f>
        <v>0</v>
      </c>
      <c r="H43" s="2" t="str">
        <f>Chu_ky!A8</f>
        <v>Có tải đều</v>
      </c>
      <c r="I43" s="5"/>
      <c r="J43" s="5"/>
      <c r="K43" s="5"/>
      <c r="L43" s="5"/>
      <c r="M43" s="5"/>
      <c r="N43" s="5"/>
    </row>
    <row r="44" spans="1:14" ht="32.1" customHeight="1">
      <c r="A44" s="1">
        <f>Chu_ky!H8+(Chu_ky!B8*6/10)</f>
        <v>50</v>
      </c>
      <c r="B44" s="2">
        <f>Chu_ky!D8*(Chu_ky!G8+Chu_ky!F8*(Chu_ky!B8*6/10)+0.5*Chu_ky!E8*(Chu_ky!B8*6/10)^2)</f>
        <v>0.12000000000000001</v>
      </c>
      <c r="C44" s="2">
        <f>Chu_ky!C8*(Chu_ky!D8*Tinh_toan_x2!E14*Tinh_toan_x2!E17+F44)</f>
        <v>24415.128000000001</v>
      </c>
      <c r="D44" s="2">
        <f>E44*B44*2*Tinh_toan_x2!E13/Tinh_toan_x2!E12</f>
        <v>3051.8910000000001</v>
      </c>
      <c r="E44" s="2">
        <f>C44*Tinh_toan_x2!E12/(2*Tinh_toan_x2!E15*Tinh_toan_x2!E13)+(Tinh_toan_x2!C47+Tinh_toan_x2!E52+Tinh_toan_x2!E53/Tinh_toan_x2!E13^2)*2*Tinh_toan_x2!E13/Tinh_toan_x2!E12*F44</f>
        <v>31.790531250000001</v>
      </c>
      <c r="F44" s="2">
        <f>Chu_ky!D8*(Chu_ky!F8+Chu_ky!E8*(Chu_ky!B8*6/10))</f>
        <v>0</v>
      </c>
      <c r="G44" s="2">
        <f>Chu_ky!D8*Chu_ky!E8</f>
        <v>0</v>
      </c>
      <c r="H44" s="2" t="str">
        <f>Chu_ky!A8</f>
        <v>Có tải đều</v>
      </c>
      <c r="I44" s="5"/>
      <c r="J44" s="5"/>
      <c r="K44" s="5"/>
      <c r="L44" s="5"/>
      <c r="M44" s="5"/>
      <c r="N44" s="5"/>
    </row>
    <row r="45" spans="1:14" ht="32.1" customHeight="1">
      <c r="A45" s="1">
        <f>Chu_ky!H8+(Chu_ky!B8*7/10)</f>
        <v>58</v>
      </c>
      <c r="B45" s="2">
        <f>Chu_ky!D8*(Chu_ky!G8+Chu_ky!F8*(Chu_ky!B8*7/10)+0.5*Chu_ky!E8*(Chu_ky!B8*7/10)^2)</f>
        <v>0.12000000000000001</v>
      </c>
      <c r="C45" s="2">
        <f>Chu_ky!C8*(Chu_ky!D8*Tinh_toan_x2!E14*Tinh_toan_x2!E17+F45)</f>
        <v>24415.128000000001</v>
      </c>
      <c r="D45" s="2">
        <f>E45*B45*2*Tinh_toan_x2!E13/Tinh_toan_x2!E12</f>
        <v>3051.8910000000001</v>
      </c>
      <c r="E45" s="2">
        <f>C45*Tinh_toan_x2!E12/(2*Tinh_toan_x2!E15*Tinh_toan_x2!E13)+(Tinh_toan_x2!C47+Tinh_toan_x2!E52+Tinh_toan_x2!E53/Tinh_toan_x2!E13^2)*2*Tinh_toan_x2!E13/Tinh_toan_x2!E12*F45</f>
        <v>31.790531250000001</v>
      </c>
      <c r="F45" s="2">
        <f>Chu_ky!D8*(Chu_ky!F8+Chu_ky!E8*(Chu_ky!B8*7/10))</f>
        <v>0</v>
      </c>
      <c r="G45" s="2">
        <f>Chu_ky!D8*Chu_ky!E8</f>
        <v>0</v>
      </c>
      <c r="H45" s="2" t="str">
        <f>Chu_ky!A8</f>
        <v>Có tải đều</v>
      </c>
      <c r="I45" s="5"/>
      <c r="J45" s="5"/>
      <c r="K45" s="5"/>
      <c r="L45" s="5"/>
      <c r="M45" s="5"/>
      <c r="N45" s="5"/>
    </row>
    <row r="46" spans="1:14" ht="32.1" customHeight="1">
      <c r="A46" s="1">
        <f>Chu_ky!H8+(Chu_ky!B8*8/10)</f>
        <v>66</v>
      </c>
      <c r="B46" s="2">
        <f>Chu_ky!D8*(Chu_ky!G8+Chu_ky!F8*(Chu_ky!B8*8/10)+0.5*Chu_ky!E8*(Chu_ky!B8*8/10)^2)</f>
        <v>0.12000000000000001</v>
      </c>
      <c r="C46" s="2">
        <f>Chu_ky!C8*(Chu_ky!D8*Tinh_toan_x2!E14*Tinh_toan_x2!E17+F46)</f>
        <v>24415.128000000001</v>
      </c>
      <c r="D46" s="2">
        <f>E46*B46*2*Tinh_toan_x2!E13/Tinh_toan_x2!E12</f>
        <v>3051.8910000000001</v>
      </c>
      <c r="E46" s="2">
        <f>C46*Tinh_toan_x2!E12/(2*Tinh_toan_x2!E15*Tinh_toan_x2!E13)+(Tinh_toan_x2!C47+Tinh_toan_x2!E52+Tinh_toan_x2!E53/Tinh_toan_x2!E13^2)*2*Tinh_toan_x2!E13/Tinh_toan_x2!E12*F46</f>
        <v>31.790531250000001</v>
      </c>
      <c r="F46" s="2">
        <f>Chu_ky!D8*(Chu_ky!F8+Chu_ky!E8*(Chu_ky!B8*8/10))</f>
        <v>0</v>
      </c>
      <c r="G46" s="2">
        <f>Chu_ky!D8*Chu_ky!E8</f>
        <v>0</v>
      </c>
      <c r="H46" s="2" t="str">
        <f>Chu_ky!A8</f>
        <v>Có tải đều</v>
      </c>
      <c r="I46" s="5"/>
      <c r="J46" s="5"/>
      <c r="K46" s="5"/>
      <c r="L46" s="5"/>
      <c r="M46" s="5"/>
      <c r="N46" s="5"/>
    </row>
    <row r="47" spans="1:14" ht="32.1" customHeight="1">
      <c r="A47" s="1">
        <f>Chu_ky!H8+(Chu_ky!B8*9/10)</f>
        <v>74</v>
      </c>
      <c r="B47" s="2">
        <f>Chu_ky!D8*(Chu_ky!G8+Chu_ky!F8*(Chu_ky!B8*9/10)+0.5*Chu_ky!E8*(Chu_ky!B8*9/10)^2)</f>
        <v>0.12000000000000001</v>
      </c>
      <c r="C47" s="2">
        <f>Chu_ky!C8*(Chu_ky!D8*Tinh_toan_x2!E14*Tinh_toan_x2!E17+F47)</f>
        <v>24415.128000000001</v>
      </c>
      <c r="D47" s="2">
        <f>E47*B47*2*Tinh_toan_x2!E13/Tinh_toan_x2!E12</f>
        <v>3051.8910000000001</v>
      </c>
      <c r="E47" s="2">
        <f>C47*Tinh_toan_x2!E12/(2*Tinh_toan_x2!E15*Tinh_toan_x2!E13)+(Tinh_toan_x2!C47+Tinh_toan_x2!E52+Tinh_toan_x2!E53/Tinh_toan_x2!E13^2)*2*Tinh_toan_x2!E13/Tinh_toan_x2!E12*F47</f>
        <v>31.790531250000001</v>
      </c>
      <c r="F47" s="2">
        <f>Chu_ky!D8*(Chu_ky!F8+Chu_ky!E8*(Chu_ky!B8*9/10))</f>
        <v>0</v>
      </c>
      <c r="G47" s="2">
        <f>Chu_ky!D8*Chu_ky!E8</f>
        <v>0</v>
      </c>
      <c r="H47" s="2" t="str">
        <f>Chu_ky!A8</f>
        <v>Có tải đều</v>
      </c>
      <c r="I47" s="5"/>
      <c r="J47" s="5"/>
      <c r="K47" s="5"/>
      <c r="L47" s="5"/>
      <c r="M47" s="5"/>
      <c r="N47" s="5"/>
    </row>
    <row r="48" spans="1:14" ht="32.1" customHeight="1">
      <c r="A48" s="1">
        <f>Chu_ky!H8+(Chu_ky!B8*10/10)</f>
        <v>82</v>
      </c>
      <c r="B48" s="2">
        <f>Chu_ky!D8*(Chu_ky!G8+Chu_ky!F8*(Chu_ky!B8*10/10)+0.5*Chu_ky!E8*(Chu_ky!B8*10/10)^2)</f>
        <v>0.12000000000000001</v>
      </c>
      <c r="C48" s="2">
        <f>Chu_ky!C8*(Chu_ky!D8*Tinh_toan_x2!E14*Tinh_toan_x2!E17+F48)</f>
        <v>24415.128000000001</v>
      </c>
      <c r="D48" s="2">
        <f>E48*B48*2*Tinh_toan_x2!E13/Tinh_toan_x2!E12</f>
        <v>3051.8910000000001</v>
      </c>
      <c r="E48" s="2">
        <f>C48*Tinh_toan_x2!E12/(2*Tinh_toan_x2!E15*Tinh_toan_x2!E13)+(Tinh_toan_x2!C47+Tinh_toan_x2!E52+Tinh_toan_x2!E53/Tinh_toan_x2!E13^2)*2*Tinh_toan_x2!E13/Tinh_toan_x2!E12*F48</f>
        <v>31.790531250000001</v>
      </c>
      <c r="F48" s="2">
        <f>Chu_ky!D8*(Chu_ky!F8+Chu_ky!E8*(Chu_ky!B8*10/10))</f>
        <v>0</v>
      </c>
      <c r="G48" s="2">
        <f>Chu_ky!D8*Chu_ky!E8</f>
        <v>0</v>
      </c>
      <c r="H48" s="2" t="str">
        <f>Chu_ky!A8</f>
        <v>Có tải đều</v>
      </c>
      <c r="I48" s="5"/>
      <c r="J48" s="5"/>
      <c r="K48" s="5"/>
      <c r="L48" s="5"/>
      <c r="M48" s="5"/>
      <c r="N48" s="5"/>
    </row>
    <row r="49" spans="1:14" ht="32.1" customHeight="1">
      <c r="A49" s="1">
        <f>Chu_ky!H9+(Chu_ky!B9*0/10)</f>
        <v>82</v>
      </c>
      <c r="B49" s="2">
        <f>Chu_ky!D9*(Chu_ky!G9+Chu_ky!F9*(Chu_ky!B9*0/10)+0.5*Chu_ky!E9*(Chu_ky!B9*0/10)^2)</f>
        <v>0.12000000000000001</v>
      </c>
      <c r="C49" s="2">
        <f>Chu_ky!C9*(Chu_ky!D9*Tinh_toan_x2!E14*Tinh_toan_x2!E17+F49)</f>
        <v>24415.128000000001</v>
      </c>
      <c r="D49" s="2">
        <f>E49*B49*2*Tinh_toan_x2!E13/Tinh_toan_x2!E12</f>
        <v>3051.8910000000001</v>
      </c>
      <c r="E49" s="2">
        <f>C49*Tinh_toan_x2!E12/(2*Tinh_toan_x2!E15*Tinh_toan_x2!E13)+(Tinh_toan_x2!C47+Tinh_toan_x2!E52+Tinh_toan_x2!E53/Tinh_toan_x2!E13^2)*2*Tinh_toan_x2!E13/Tinh_toan_x2!E12*F49</f>
        <v>31.790531250000001</v>
      </c>
      <c r="F49" s="2">
        <f>Chu_ky!D9*(Chu_ky!F9+Chu_ky!E9*(Chu_ky!B9*0/10))</f>
        <v>0</v>
      </c>
      <c r="G49" s="2">
        <f>Chu_ky!D9*Chu_ky!E9</f>
        <v>-4.9230769230769238E-2</v>
      </c>
      <c r="H49" s="2" t="str">
        <f>Chu_ky!A9</f>
        <v>Có tải giảm j-</v>
      </c>
      <c r="I49" s="5"/>
      <c r="J49" s="5"/>
      <c r="K49" s="5"/>
      <c r="L49" s="5"/>
      <c r="M49" s="5"/>
      <c r="N49" s="5"/>
    </row>
    <row r="50" spans="1:14" ht="32.1" customHeight="1">
      <c r="A50" s="1">
        <f>Chu_ky!H9+(Chu_ky!B9*1/10)</f>
        <v>82.025000000000006</v>
      </c>
      <c r="B50" s="2">
        <f>Chu_ky!D9*(Chu_ky!G9+Chu_ky!F9*(Chu_ky!B9*1/10)+0.5*Chu_ky!E9*(Chu_ky!B9*1/10)^2)</f>
        <v>0.1199846153846154</v>
      </c>
      <c r="C50" s="2">
        <f>Chu_ky!C9*(Chu_ky!D9*Tinh_toan_x2!E14*Tinh_toan_x2!E17+F50)</f>
        <v>24399.812307692311</v>
      </c>
      <c r="D50" s="2">
        <f>E50*B50*2*Tinh_toan_x2!E13/Tinh_toan_x2!E12</f>
        <v>3045.8995884437877</v>
      </c>
      <c r="E50" s="2">
        <f>C50*Tinh_toan_x2!E12/(2*Tinh_toan_x2!E15*Tinh_toan_x2!E13)+(Tinh_toan_x2!C47+Tinh_toan_x2!E52+Tinh_toan_x2!E53/Tinh_toan_x2!E13^2)*2*Tinh_toan_x2!E13/Tinh_toan_x2!E12*F50</f>
        <v>31.732188942307697</v>
      </c>
      <c r="F50" s="2">
        <f>Chu_ky!D9*(Chu_ky!F9+Chu_ky!E9*(Chu_ky!B9*1/10))</f>
        <v>-1.230769230769231E-3</v>
      </c>
      <c r="G50" s="2">
        <f>Chu_ky!D9*Chu_ky!E9</f>
        <v>-4.9230769230769238E-2</v>
      </c>
      <c r="H50" s="2" t="str">
        <f>Chu_ky!A9</f>
        <v>Có tải giảm j-</v>
      </c>
      <c r="I50" s="5"/>
      <c r="J50" s="5"/>
      <c r="K50" s="5"/>
      <c r="L50" s="5"/>
      <c r="M50" s="5"/>
      <c r="N50" s="5"/>
    </row>
    <row r="51" spans="1:14" ht="32.1" customHeight="1">
      <c r="A51" s="1">
        <f>Chu_ky!H9+(Chu_ky!B9*2/10)</f>
        <v>82.05</v>
      </c>
      <c r="B51" s="2">
        <f>Chu_ky!D9*(Chu_ky!G9+Chu_ky!F9*(Chu_ky!B9*2/10)+0.5*Chu_ky!E9*(Chu_ky!B9*2/10)^2)</f>
        <v>0.11993846153846155</v>
      </c>
      <c r="C51" s="2">
        <f>Chu_ky!C9*(Chu_ky!D9*Tinh_toan_x2!E14*Tinh_toan_x2!E17+F51)</f>
        <v>24384.496615384618</v>
      </c>
      <c r="D51" s="2">
        <f>E51*B51*2*Tinh_toan_x2!E13/Tinh_toan_x2!E12</f>
        <v>3039.1299490887582</v>
      </c>
      <c r="E51" s="2">
        <f>C51*Tinh_toan_x2!E12/(2*Tinh_toan_x2!E15*Tinh_toan_x2!E13)+(Tinh_toan_x2!C47+Tinh_toan_x2!E52+Tinh_toan_x2!E53/Tinh_toan_x2!E13^2)*2*Tinh_toan_x2!E13/Tinh_toan_x2!E12*F51</f>
        <v>31.673846634615391</v>
      </c>
      <c r="F51" s="2">
        <f>Chu_ky!D9*(Chu_ky!F9+Chu_ky!E9*(Chu_ky!B9*2/10))</f>
        <v>-2.4615384615384621E-3</v>
      </c>
      <c r="G51" s="2">
        <f>Chu_ky!D9*Chu_ky!E9</f>
        <v>-4.9230769230769238E-2</v>
      </c>
      <c r="H51" s="2" t="str">
        <f>Chu_ky!A9</f>
        <v>Có tải giảm j-</v>
      </c>
      <c r="I51" s="5"/>
      <c r="J51" s="5"/>
      <c r="K51" s="5"/>
      <c r="L51" s="5"/>
      <c r="M51" s="5"/>
      <c r="N51" s="5"/>
    </row>
    <row r="52" spans="1:14" ht="32.1" customHeight="1">
      <c r="A52" s="1">
        <f>Chu_ky!H9+(Chu_ky!B9*3/10)</f>
        <v>82.075000000000003</v>
      </c>
      <c r="B52" s="2">
        <f>Chu_ky!D9*(Chu_ky!G9+Chu_ky!F9*(Chu_ky!B9*3/10)+0.5*Chu_ky!E9*(Chu_ky!B9*3/10)^2)</f>
        <v>0.11986153846153848</v>
      </c>
      <c r="C52" s="2">
        <f>Chu_ky!C9*(Chu_ky!D9*Tinh_toan_x2!E14*Tinh_toan_x2!E17+F52)</f>
        <v>24369.180923076925</v>
      </c>
      <c r="D52" s="2">
        <f>E52*B52*2*Tinh_toan_x2!E13/Tinh_toan_x2!E12</f>
        <v>3031.5863902899414</v>
      </c>
      <c r="E52" s="2">
        <f>C52*Tinh_toan_x2!E12/(2*Tinh_toan_x2!E15*Tinh_toan_x2!E13)+(Tinh_toan_x2!C47+Tinh_toan_x2!E52+Tinh_toan_x2!E53/Tinh_toan_x2!E13^2)*2*Tinh_toan_x2!E13/Tinh_toan_x2!E12*F52</f>
        <v>31.615504326923077</v>
      </c>
      <c r="F52" s="2">
        <f>Chu_ky!D9*(Chu_ky!F9+Chu_ky!E9*(Chu_ky!B9*3/10))</f>
        <v>-3.6923076923076927E-3</v>
      </c>
      <c r="G52" s="2">
        <f>Chu_ky!D9*Chu_ky!E9</f>
        <v>-4.9230769230769238E-2</v>
      </c>
      <c r="H52" s="2" t="str">
        <f>Chu_ky!A9</f>
        <v>Có tải giảm j-</v>
      </c>
      <c r="I52" s="5"/>
      <c r="J52" s="5"/>
      <c r="K52" s="5"/>
      <c r="L52" s="5"/>
      <c r="M52" s="5"/>
      <c r="N52" s="5"/>
    </row>
    <row r="53" spans="1:14" ht="32.1" customHeight="1">
      <c r="A53" s="1">
        <f>Chu_ky!H9+(Chu_ky!B9*4/10)</f>
        <v>82.1</v>
      </c>
      <c r="B53" s="2">
        <f>Chu_ky!D9*(Chu_ky!G9+Chu_ky!F9*(Chu_ky!B9*4/10)+0.5*Chu_ky!E9*(Chu_ky!B9*4/10)^2)</f>
        <v>0.11975384615384617</v>
      </c>
      <c r="C53" s="2">
        <f>Chu_ky!C9*(Chu_ky!D9*Tinh_toan_x2!E14*Tinh_toan_x2!E17+F53)</f>
        <v>24353.865230769232</v>
      </c>
      <c r="D53" s="2">
        <f>E53*B53*2*Tinh_toan_x2!E13/Tinh_toan_x2!E12</f>
        <v>3023.2732204023673</v>
      </c>
      <c r="E53" s="2">
        <f>C53*Tinh_toan_x2!E12/(2*Tinh_toan_x2!E15*Tinh_toan_x2!E13)+(Tinh_toan_x2!C47+Tinh_toan_x2!E52+Tinh_toan_x2!E53/Tinh_toan_x2!E13^2)*2*Tinh_toan_x2!E13/Tinh_toan_x2!E12*F53</f>
        <v>31.55716201923077</v>
      </c>
      <c r="F53" s="2">
        <f>Chu_ky!D9*(Chu_ky!F9+Chu_ky!E9*(Chu_ky!B9*4/10))</f>
        <v>-4.9230769230769241E-3</v>
      </c>
      <c r="G53" s="2">
        <f>Chu_ky!D9*Chu_ky!E9</f>
        <v>-4.9230769230769238E-2</v>
      </c>
      <c r="H53" s="2" t="str">
        <f>Chu_ky!A9</f>
        <v>Có tải giảm j-</v>
      </c>
      <c r="I53" s="5"/>
      <c r="J53" s="5"/>
      <c r="K53" s="5"/>
      <c r="L53" s="5"/>
      <c r="M53" s="5"/>
      <c r="N53" s="5"/>
    </row>
    <row r="54" spans="1:14" ht="32.1" customHeight="1">
      <c r="A54" s="1">
        <f>Chu_ky!H9+(Chu_ky!B9*5/10)</f>
        <v>82.125</v>
      </c>
      <c r="B54" s="2">
        <f>Chu_ky!D9*(Chu_ky!G9+Chu_ky!F9*(Chu_ky!B9*5/10)+0.5*Chu_ky!E9*(Chu_ky!B9*5/10)^2)</f>
        <v>0.11961538461538462</v>
      </c>
      <c r="C54" s="2">
        <f>Chu_ky!C9*(Chu_ky!D9*Tinh_toan_x2!E14*Tinh_toan_x2!E17+F54)</f>
        <v>24338.549538461539</v>
      </c>
      <c r="D54" s="2">
        <f>E54*B54*2*Tinh_toan_x2!E13/Tinh_toan_x2!E12</f>
        <v>3014.1947477810654</v>
      </c>
      <c r="E54" s="2">
        <f>C54*Tinh_toan_x2!E12/(2*Tinh_toan_x2!E15*Tinh_toan_x2!E13)+(Tinh_toan_x2!C47+Tinh_toan_x2!E52+Tinh_toan_x2!E53/Tinh_toan_x2!E13^2)*2*Tinh_toan_x2!E13/Tinh_toan_x2!E12*F54</f>
        <v>31.498819711538463</v>
      </c>
      <c r="F54" s="2">
        <f>Chu_ky!D9*(Chu_ky!F9+Chu_ky!E9*(Chu_ky!B9*5/10))</f>
        <v>-6.1538461538461547E-3</v>
      </c>
      <c r="G54" s="2">
        <f>Chu_ky!D9*Chu_ky!E9</f>
        <v>-4.9230769230769238E-2</v>
      </c>
      <c r="H54" s="2" t="str">
        <f>Chu_ky!A9</f>
        <v>Có tải giảm j-</v>
      </c>
      <c r="I54" s="5"/>
      <c r="J54" s="5"/>
      <c r="K54" s="5"/>
      <c r="L54" s="5"/>
      <c r="M54" s="5"/>
      <c r="N54" s="5"/>
    </row>
    <row r="55" spans="1:14" ht="32.1" customHeight="1">
      <c r="A55" s="1">
        <f>Chu_ky!H9+(Chu_ky!B9*6/10)</f>
        <v>82.15</v>
      </c>
      <c r="B55" s="2">
        <f>Chu_ky!D9*(Chu_ky!G9+Chu_ky!F9*(Chu_ky!B9*6/10)+0.5*Chu_ky!E9*(Chu_ky!B9*6/10)^2)</f>
        <v>0.11944615384615385</v>
      </c>
      <c r="C55" s="2">
        <f>Chu_ky!C9*(Chu_ky!D9*Tinh_toan_x2!E14*Tinh_toan_x2!E17+F55)</f>
        <v>24323.233846153849</v>
      </c>
      <c r="D55" s="2">
        <f>E55*B55*2*Tinh_toan_x2!E13/Tinh_toan_x2!E12</f>
        <v>3004.3552807810661</v>
      </c>
      <c r="E55" s="2">
        <f>C55*Tinh_toan_x2!E12/(2*Tinh_toan_x2!E15*Tinh_toan_x2!E13)+(Tinh_toan_x2!C47+Tinh_toan_x2!E52+Tinh_toan_x2!E53/Tinh_toan_x2!E13^2)*2*Tinh_toan_x2!E13/Tinh_toan_x2!E12*F55</f>
        <v>31.44047740384616</v>
      </c>
      <c r="F55" s="2">
        <f>Chu_ky!D9*(Chu_ky!F9+Chu_ky!E9*(Chu_ky!B9*6/10))</f>
        <v>-7.3846153846153853E-3</v>
      </c>
      <c r="G55" s="2">
        <f>Chu_ky!D9*Chu_ky!E9</f>
        <v>-4.9230769230769238E-2</v>
      </c>
      <c r="H55" s="2" t="str">
        <f>Chu_ky!A9</f>
        <v>Có tải giảm j-</v>
      </c>
      <c r="I55" s="5"/>
      <c r="J55" s="5"/>
      <c r="K55" s="5"/>
      <c r="L55" s="5"/>
      <c r="M55" s="5"/>
      <c r="N55" s="5"/>
    </row>
    <row r="56" spans="1:14" ht="32.1" customHeight="1">
      <c r="A56" s="1">
        <f>Chu_ky!H9+(Chu_ky!B9*7/10)</f>
        <v>82.174999999999997</v>
      </c>
      <c r="B56" s="2">
        <f>Chu_ky!D9*(Chu_ky!G9+Chu_ky!F9*(Chu_ky!B9*7/10)+0.5*Chu_ky!E9*(Chu_ky!B9*7/10)^2)</f>
        <v>0.11924615384615385</v>
      </c>
      <c r="C56" s="2">
        <f>Chu_ky!C9*(Chu_ky!D9*Tinh_toan_x2!E14*Tinh_toan_x2!E17+F56)</f>
        <v>24307.918153846156</v>
      </c>
      <c r="D56" s="2">
        <f>E56*B56*2*Tinh_toan_x2!E13/Tinh_toan_x2!E12</f>
        <v>2993.759127757397</v>
      </c>
      <c r="E56" s="2">
        <f>C56*Tinh_toan_x2!E12/(2*Tinh_toan_x2!E15*Tinh_toan_x2!E13)+(Tinh_toan_x2!C47+Tinh_toan_x2!E52+Tinh_toan_x2!E53/Tinh_toan_x2!E13^2)*2*Tinh_toan_x2!E13/Tinh_toan_x2!E12*F56</f>
        <v>31.382135096153849</v>
      </c>
      <c r="F56" s="2">
        <f>Chu_ky!D9*(Chu_ky!F9+Chu_ky!E9*(Chu_ky!B9*7/10))</f>
        <v>-8.6153846153846168E-3</v>
      </c>
      <c r="G56" s="2">
        <f>Chu_ky!D9*Chu_ky!E9</f>
        <v>-4.9230769230769238E-2</v>
      </c>
      <c r="H56" s="2" t="str">
        <f>Chu_ky!A9</f>
        <v>Có tải giảm j-</v>
      </c>
      <c r="I56" s="5"/>
      <c r="J56" s="5"/>
      <c r="K56" s="5"/>
      <c r="L56" s="5"/>
      <c r="M56" s="5"/>
      <c r="N56" s="5"/>
    </row>
    <row r="57" spans="1:14" ht="32.1" customHeight="1">
      <c r="A57" s="1">
        <f>Chu_ky!H9+(Chu_ky!B9*8/10)</f>
        <v>82.2</v>
      </c>
      <c r="B57" s="2">
        <f>Chu_ky!D9*(Chu_ky!G9+Chu_ky!F9*(Chu_ky!B9*8/10)+0.5*Chu_ky!E9*(Chu_ky!B9*8/10)^2)</f>
        <v>0.11901538461538462</v>
      </c>
      <c r="C57" s="2">
        <f>Chu_ky!C9*(Chu_ky!D9*Tinh_toan_x2!E14*Tinh_toan_x2!E17+F57)</f>
        <v>24292.602461538463</v>
      </c>
      <c r="D57" s="2">
        <f>E57*B57*2*Tinh_toan_x2!E13/Tinh_toan_x2!E12</f>
        <v>2982.410597065089</v>
      </c>
      <c r="E57" s="2">
        <f>C57*Tinh_toan_x2!E12/(2*Tinh_toan_x2!E15*Tinh_toan_x2!E13)+(Tinh_toan_x2!C47+Tinh_toan_x2!E52+Tinh_toan_x2!E53/Tinh_toan_x2!E13^2)*2*Tinh_toan_x2!E13/Tinh_toan_x2!E12*F57</f>
        <v>31.323792788461539</v>
      </c>
      <c r="F57" s="2">
        <f>Chu_ky!D9*(Chu_ky!F9+Chu_ky!E9*(Chu_ky!B9*8/10))</f>
        <v>-9.8461538461538482E-3</v>
      </c>
      <c r="G57" s="2">
        <f>Chu_ky!D9*Chu_ky!E9</f>
        <v>-4.9230769230769238E-2</v>
      </c>
      <c r="H57" s="2" t="str">
        <f>Chu_ky!A9</f>
        <v>Có tải giảm j-</v>
      </c>
      <c r="I57" s="5"/>
      <c r="J57" s="5"/>
      <c r="K57" s="5"/>
      <c r="L57" s="5"/>
      <c r="M57" s="5"/>
      <c r="N57" s="5"/>
    </row>
    <row r="58" spans="1:14" ht="32.1" customHeight="1">
      <c r="A58" s="1">
        <f>Chu_ky!H9+(Chu_ky!B9*9/10)</f>
        <v>82.224999999999994</v>
      </c>
      <c r="B58" s="2">
        <f>Chu_ky!D9*(Chu_ky!G9+Chu_ky!F9*(Chu_ky!B9*9/10)+0.5*Chu_ky!E9*(Chu_ky!B9*9/10)^2)</f>
        <v>0.11875384615384617</v>
      </c>
      <c r="C58" s="2">
        <f>Chu_ky!C9*(Chu_ky!D9*Tinh_toan_x2!E14*Tinh_toan_x2!E17+F58)</f>
        <v>24277.286769230774</v>
      </c>
      <c r="D58" s="2">
        <f>E58*B58*2*Tinh_toan_x2!E13/Tinh_toan_x2!E12</f>
        <v>2970.3139970591724</v>
      </c>
      <c r="E58" s="2">
        <f>C58*Tinh_toan_x2!E12/(2*Tinh_toan_x2!E15*Tinh_toan_x2!E13)+(Tinh_toan_x2!C47+Tinh_toan_x2!E52+Tinh_toan_x2!E53/Tinh_toan_x2!E13^2)*2*Tinh_toan_x2!E13/Tinh_toan_x2!E12*F58</f>
        <v>31.265450480769235</v>
      </c>
      <c r="F58" s="2">
        <f>Chu_ky!D9*(Chu_ky!F9+Chu_ky!E9*(Chu_ky!B9*9/10))</f>
        <v>-1.1076923076923078E-2</v>
      </c>
      <c r="G58" s="2">
        <f>Chu_ky!D9*Chu_ky!E9</f>
        <v>-4.9230769230769238E-2</v>
      </c>
      <c r="H58" s="2" t="str">
        <f>Chu_ky!A9</f>
        <v>Có tải giảm j-</v>
      </c>
      <c r="I58" s="5"/>
      <c r="J58" s="5"/>
      <c r="K58" s="5"/>
      <c r="L58" s="5"/>
      <c r="M58" s="5"/>
      <c r="N58" s="5"/>
    </row>
    <row r="59" spans="1:14" ht="32.1" customHeight="1">
      <c r="A59" s="1">
        <f>Chu_ky!H9+(Chu_ky!B9*10/10)</f>
        <v>82.25</v>
      </c>
      <c r="B59" s="2">
        <f>Chu_ky!D9*(Chu_ky!G9+Chu_ky!F9*(Chu_ky!B9*10/10)+0.5*Chu_ky!E9*(Chu_ky!B9*10/10)^2)</f>
        <v>0.11846153846153847</v>
      </c>
      <c r="C59" s="2">
        <f>Chu_ky!C9*(Chu_ky!D9*Tinh_toan_x2!E14*Tinh_toan_x2!E17+F59)</f>
        <v>24261.971076923077</v>
      </c>
      <c r="D59" s="2">
        <f>E59*B59*2*Tinh_toan_x2!E13/Tinh_toan_x2!E12</f>
        <v>2957.4736360946745</v>
      </c>
      <c r="E59" s="2">
        <f>C59*Tinh_toan_x2!E12/(2*Tinh_toan_x2!E15*Tinh_toan_x2!E13)+(Tinh_toan_x2!C47+Tinh_toan_x2!E52+Tinh_toan_x2!E53/Tinh_toan_x2!E13^2)*2*Tinh_toan_x2!E13/Tinh_toan_x2!E12*F59</f>
        <v>31.207108173076922</v>
      </c>
      <c r="F59" s="2">
        <f>Chu_ky!D9*(Chu_ky!F9+Chu_ky!E9*(Chu_ky!B9*10/10))</f>
        <v>-1.2307692307692309E-2</v>
      </c>
      <c r="G59" s="2">
        <f>Chu_ky!D9*Chu_ky!E9</f>
        <v>-4.9230769230769238E-2</v>
      </c>
      <c r="H59" s="2" t="str">
        <f>Chu_ky!A9</f>
        <v>Có tải giảm j-</v>
      </c>
      <c r="I59" s="5"/>
      <c r="J59" s="5"/>
      <c r="K59" s="5"/>
      <c r="L59" s="5"/>
      <c r="M59" s="5"/>
      <c r="N59" s="5"/>
    </row>
    <row r="60" spans="1:14" ht="32.1" customHeight="1">
      <c r="A60" s="1">
        <f>Chu_ky!H10+(Chu_ky!B10*0/10)</f>
        <v>82.25</v>
      </c>
      <c r="B60" s="2">
        <f>Chu_ky!D10*(Chu_ky!G10+Chu_ky!F10*(Chu_ky!B10*0/10)+0.5*Chu_ky!E10*(Chu_ky!B10*0/10)^2)</f>
        <v>0.11846153846153847</v>
      </c>
      <c r="C60" s="2">
        <f>Chu_ky!C10*(Chu_ky!D10*Tinh_toan_x2!E14*Tinh_toan_x2!E17+F60)</f>
        <v>24261.971076923077</v>
      </c>
      <c r="D60" s="2">
        <f>E60*B60*2*Tinh_toan_x2!E13/Tinh_toan_x2!E12</f>
        <v>2957.4736360946745</v>
      </c>
      <c r="E60" s="2">
        <f>C60*Tinh_toan_x2!E12/(2*Tinh_toan_x2!E15*Tinh_toan_x2!E13)+(Tinh_toan_x2!C47+Tinh_toan_x2!E52+Tinh_toan_x2!E53/Tinh_toan_x2!E13^2)*2*Tinh_toan_x2!E13/Tinh_toan_x2!E12*F60</f>
        <v>31.207108173076922</v>
      </c>
      <c r="F60" s="2">
        <f>Chu_ky!D10*(Chu_ky!F10+Chu_ky!E10*(Chu_ky!B10*0/10))</f>
        <v>-1.2307692307692309E-2</v>
      </c>
      <c r="G60" s="2">
        <f>Chu_ky!D10*Chu_ky!E10</f>
        <v>0</v>
      </c>
      <c r="H60" s="2" t="str">
        <f>Chu_ky!A10</f>
        <v>Có tải giảm a</v>
      </c>
      <c r="I60" s="5"/>
      <c r="J60" s="5"/>
      <c r="K60" s="5"/>
      <c r="L60" s="5"/>
      <c r="M60" s="5"/>
      <c r="N60" s="5"/>
    </row>
    <row r="61" spans="1:14" ht="32.1" customHeight="1">
      <c r="A61" s="1">
        <f>Chu_ky!H10+(Chu_ky!B10*1/10)</f>
        <v>83.2</v>
      </c>
      <c r="B61" s="2">
        <f>Chu_ky!D10*(Chu_ky!G10+Chu_ky!F10*(Chu_ky!B10*1/10)+0.5*Chu_ky!E10*(Chu_ky!B10*1/10)^2)</f>
        <v>0.10676923076923077</v>
      </c>
      <c r="C61" s="2">
        <f>Chu_ky!C10*(Chu_ky!D10*Tinh_toan_x2!E14*Tinh_toan_x2!E17+F61)</f>
        <v>24261.971076923077</v>
      </c>
      <c r="D61" s="2">
        <f>E61*B61*2*Tinh_toan_x2!E13/Tinh_toan_x2!E12</f>
        <v>2665.5671473372781</v>
      </c>
      <c r="E61" s="2">
        <f>C61*Tinh_toan_x2!E12/(2*Tinh_toan_x2!E15*Tinh_toan_x2!E13)+(Tinh_toan_x2!C47+Tinh_toan_x2!E52+Tinh_toan_x2!E53/Tinh_toan_x2!E13^2)*2*Tinh_toan_x2!E13/Tinh_toan_x2!E12*F61</f>
        <v>31.207108173076922</v>
      </c>
      <c r="F61" s="2">
        <f>Chu_ky!D10*(Chu_ky!F10+Chu_ky!E10*(Chu_ky!B10*1/10))</f>
        <v>-1.2307692307692309E-2</v>
      </c>
      <c r="G61" s="2">
        <f>Chu_ky!D10*Chu_ky!E10</f>
        <v>0</v>
      </c>
      <c r="H61" s="2" t="str">
        <f>Chu_ky!A10</f>
        <v>Có tải giảm a</v>
      </c>
      <c r="I61" s="5"/>
      <c r="J61" s="5"/>
      <c r="K61" s="5"/>
      <c r="L61" s="5"/>
      <c r="M61" s="5"/>
      <c r="N61" s="5"/>
    </row>
    <row r="62" spans="1:14" ht="32.1" customHeight="1">
      <c r="A62" s="1">
        <f>Chu_ky!H10+(Chu_ky!B10*2/10)</f>
        <v>84.15</v>
      </c>
      <c r="B62" s="2">
        <f>Chu_ky!D10*(Chu_ky!G10+Chu_ky!F10*(Chu_ky!B10*2/10)+0.5*Chu_ky!E10*(Chu_ky!B10*2/10)^2)</f>
        <v>9.5076923076923087E-2</v>
      </c>
      <c r="C62" s="2">
        <f>Chu_ky!C10*(Chu_ky!D10*Tinh_toan_x2!E14*Tinh_toan_x2!E17+F62)</f>
        <v>24261.971076923077</v>
      </c>
      <c r="D62" s="2">
        <f>E62*B62*2*Tinh_toan_x2!E13/Tinh_toan_x2!E12</f>
        <v>2373.6606585798818</v>
      </c>
      <c r="E62" s="2">
        <f>C62*Tinh_toan_x2!E12/(2*Tinh_toan_x2!E15*Tinh_toan_x2!E13)+(Tinh_toan_x2!C47+Tinh_toan_x2!E52+Tinh_toan_x2!E53/Tinh_toan_x2!E13^2)*2*Tinh_toan_x2!E13/Tinh_toan_x2!E12*F62</f>
        <v>31.207108173076922</v>
      </c>
      <c r="F62" s="2">
        <f>Chu_ky!D10*(Chu_ky!F10+Chu_ky!E10*(Chu_ky!B10*2/10))</f>
        <v>-1.2307692307692309E-2</v>
      </c>
      <c r="G62" s="2">
        <f>Chu_ky!D10*Chu_ky!E10</f>
        <v>0</v>
      </c>
      <c r="H62" s="2" t="str">
        <f>Chu_ky!A10</f>
        <v>Có tải giảm a</v>
      </c>
      <c r="I62" s="5"/>
      <c r="J62" s="5"/>
      <c r="K62" s="5"/>
      <c r="L62" s="5"/>
      <c r="M62" s="5"/>
      <c r="N62" s="5"/>
    </row>
    <row r="63" spans="1:14" ht="32.1" customHeight="1">
      <c r="A63" s="1">
        <f>Chu_ky!H10+(Chu_ky!B10*3/10)</f>
        <v>85.1</v>
      </c>
      <c r="B63" s="2">
        <f>Chu_ky!D10*(Chu_ky!G10+Chu_ky!F10*(Chu_ky!B10*3/10)+0.5*Chu_ky!E10*(Chu_ky!B10*3/10)^2)</f>
        <v>8.338461538461539E-2</v>
      </c>
      <c r="C63" s="2">
        <f>Chu_ky!C10*(Chu_ky!D10*Tinh_toan_x2!E14*Tinh_toan_x2!E17+F63)</f>
        <v>24261.971076923077</v>
      </c>
      <c r="D63" s="2">
        <f>E63*B63*2*Tinh_toan_x2!E13/Tinh_toan_x2!E12</f>
        <v>2081.7541698224854</v>
      </c>
      <c r="E63" s="2">
        <f>C63*Tinh_toan_x2!E12/(2*Tinh_toan_x2!E15*Tinh_toan_x2!E13)+(Tinh_toan_x2!C47+Tinh_toan_x2!E52+Tinh_toan_x2!E53/Tinh_toan_x2!E13^2)*2*Tinh_toan_x2!E13/Tinh_toan_x2!E12*F63</f>
        <v>31.207108173076922</v>
      </c>
      <c r="F63" s="2">
        <f>Chu_ky!D10*(Chu_ky!F10+Chu_ky!E10*(Chu_ky!B10*3/10))</f>
        <v>-1.2307692307692309E-2</v>
      </c>
      <c r="G63" s="2">
        <f>Chu_ky!D10*Chu_ky!E10</f>
        <v>0</v>
      </c>
      <c r="H63" s="2" t="str">
        <f>Chu_ky!A10</f>
        <v>Có tải giảm a</v>
      </c>
      <c r="I63" s="5"/>
      <c r="J63" s="5"/>
      <c r="K63" s="5"/>
      <c r="L63" s="5"/>
      <c r="M63" s="5"/>
      <c r="N63" s="5"/>
    </row>
    <row r="64" spans="1:14" ht="32.1" customHeight="1">
      <c r="A64" s="1">
        <f>Chu_ky!H10+(Chu_ky!B10*4/10)</f>
        <v>86.05</v>
      </c>
      <c r="B64" s="2">
        <f>Chu_ky!D10*(Chu_ky!G10+Chu_ky!F10*(Chu_ky!B10*4/10)+0.5*Chu_ky!E10*(Chu_ky!B10*4/10)^2)</f>
        <v>7.1692307692307694E-2</v>
      </c>
      <c r="C64" s="2">
        <f>Chu_ky!C10*(Chu_ky!D10*Tinh_toan_x2!E14*Tinh_toan_x2!E17+F64)</f>
        <v>24261.971076923077</v>
      </c>
      <c r="D64" s="2">
        <f>E64*B64*2*Tinh_toan_x2!E13/Tinh_toan_x2!E12</f>
        <v>1789.8476810650886</v>
      </c>
      <c r="E64" s="2">
        <f>C64*Tinh_toan_x2!E12/(2*Tinh_toan_x2!E15*Tinh_toan_x2!E13)+(Tinh_toan_x2!C47+Tinh_toan_x2!E52+Tinh_toan_x2!E53/Tinh_toan_x2!E13^2)*2*Tinh_toan_x2!E13/Tinh_toan_x2!E12*F64</f>
        <v>31.207108173076922</v>
      </c>
      <c r="F64" s="2">
        <f>Chu_ky!D10*(Chu_ky!F10+Chu_ky!E10*(Chu_ky!B10*4/10))</f>
        <v>-1.2307692307692309E-2</v>
      </c>
      <c r="G64" s="2">
        <f>Chu_ky!D10*Chu_ky!E10</f>
        <v>0</v>
      </c>
      <c r="H64" s="2" t="str">
        <f>Chu_ky!A10</f>
        <v>Có tải giảm a</v>
      </c>
      <c r="I64" s="5"/>
      <c r="J64" s="5"/>
      <c r="K64" s="5"/>
      <c r="L64" s="5"/>
      <c r="M64" s="5"/>
      <c r="N64" s="5"/>
    </row>
    <row r="65" spans="1:14" ht="32.1" customHeight="1">
      <c r="A65" s="1">
        <f>Chu_ky!H10+(Chu_ky!B10*5/10)</f>
        <v>87</v>
      </c>
      <c r="B65" s="2">
        <f>Chu_ky!D10*(Chu_ky!G10+Chu_ky!F10*(Chu_ky!B10*5/10)+0.5*Chu_ky!E10*(Chu_ky!B10*5/10)^2)</f>
        <v>0.06</v>
      </c>
      <c r="C65" s="2">
        <f>Chu_ky!C10*(Chu_ky!D10*Tinh_toan_x2!E14*Tinh_toan_x2!E17+F65)</f>
        <v>24261.971076923077</v>
      </c>
      <c r="D65" s="2">
        <f>E65*B65*2*Tinh_toan_x2!E13/Tinh_toan_x2!E12</f>
        <v>1497.9411923076923</v>
      </c>
      <c r="E65" s="2">
        <f>C65*Tinh_toan_x2!E12/(2*Tinh_toan_x2!E15*Tinh_toan_x2!E13)+(Tinh_toan_x2!C47+Tinh_toan_x2!E52+Tinh_toan_x2!E53/Tinh_toan_x2!E13^2)*2*Tinh_toan_x2!E13/Tinh_toan_x2!E12*F65</f>
        <v>31.207108173076922</v>
      </c>
      <c r="F65" s="2">
        <f>Chu_ky!D10*(Chu_ky!F10+Chu_ky!E10*(Chu_ky!B10*5/10))</f>
        <v>-1.2307692307692309E-2</v>
      </c>
      <c r="G65" s="2">
        <f>Chu_ky!D10*Chu_ky!E10</f>
        <v>0</v>
      </c>
      <c r="H65" s="2" t="str">
        <f>Chu_ky!A10</f>
        <v>Có tải giảm a</v>
      </c>
      <c r="I65" s="5"/>
      <c r="J65" s="5"/>
      <c r="K65" s="5"/>
      <c r="L65" s="5"/>
      <c r="M65" s="5"/>
      <c r="N65" s="5"/>
    </row>
    <row r="66" spans="1:14" ht="32.1" customHeight="1">
      <c r="A66" s="1">
        <f>Chu_ky!H10+(Chu_ky!B10*6/10)</f>
        <v>87.95</v>
      </c>
      <c r="B66" s="2">
        <f>Chu_ky!D10*(Chu_ky!G10+Chu_ky!F10*(Chu_ky!B10*6/10)+0.5*Chu_ky!E10*(Chu_ky!B10*6/10)^2)</f>
        <v>4.8307692307692301E-2</v>
      </c>
      <c r="C66" s="2">
        <f>Chu_ky!C10*(Chu_ky!D10*Tinh_toan_x2!E14*Tinh_toan_x2!E17+F66)</f>
        <v>24261.971076923077</v>
      </c>
      <c r="D66" s="2">
        <f>E66*B66*2*Tinh_toan_x2!E13/Tinh_toan_x2!E12</f>
        <v>1206.0347035502957</v>
      </c>
      <c r="E66" s="2">
        <f>C66*Tinh_toan_x2!E12/(2*Tinh_toan_x2!E15*Tinh_toan_x2!E13)+(Tinh_toan_x2!C47+Tinh_toan_x2!E52+Tinh_toan_x2!E53/Tinh_toan_x2!E13^2)*2*Tinh_toan_x2!E13/Tinh_toan_x2!E12*F66</f>
        <v>31.207108173076922</v>
      </c>
      <c r="F66" s="2">
        <f>Chu_ky!D10*(Chu_ky!F10+Chu_ky!E10*(Chu_ky!B10*6/10))</f>
        <v>-1.2307692307692309E-2</v>
      </c>
      <c r="G66" s="2">
        <f>Chu_ky!D10*Chu_ky!E10</f>
        <v>0</v>
      </c>
      <c r="H66" s="2" t="str">
        <f>Chu_ky!A10</f>
        <v>Có tải giảm a</v>
      </c>
      <c r="I66" s="5"/>
      <c r="J66" s="5"/>
      <c r="K66" s="5"/>
      <c r="L66" s="5"/>
      <c r="M66" s="5"/>
      <c r="N66" s="5"/>
    </row>
    <row r="67" spans="1:14" ht="32.1" customHeight="1">
      <c r="A67" s="1">
        <f>Chu_ky!H10+(Chu_ky!B10*7/10)</f>
        <v>88.9</v>
      </c>
      <c r="B67" s="2">
        <f>Chu_ky!D10*(Chu_ky!G10+Chu_ky!F10*(Chu_ky!B10*7/10)+0.5*Chu_ky!E10*(Chu_ky!B10*7/10)^2)</f>
        <v>3.6615384615384605E-2</v>
      </c>
      <c r="C67" s="2">
        <f>Chu_ky!C10*(Chu_ky!D10*Tinh_toan_x2!E14*Tinh_toan_x2!E17+F67)</f>
        <v>24261.971076923077</v>
      </c>
      <c r="D67" s="2">
        <f>E67*B67*2*Tinh_toan_x2!E13/Tinh_toan_x2!E12</f>
        <v>914.12821479289903</v>
      </c>
      <c r="E67" s="2">
        <f>C67*Tinh_toan_x2!E12/(2*Tinh_toan_x2!E15*Tinh_toan_x2!E13)+(Tinh_toan_x2!C47+Tinh_toan_x2!E52+Tinh_toan_x2!E53/Tinh_toan_x2!E13^2)*2*Tinh_toan_x2!E13/Tinh_toan_x2!E12*F67</f>
        <v>31.207108173076922</v>
      </c>
      <c r="F67" s="2">
        <f>Chu_ky!D10*(Chu_ky!F10+Chu_ky!E10*(Chu_ky!B10*7/10))</f>
        <v>-1.2307692307692309E-2</v>
      </c>
      <c r="G67" s="2">
        <f>Chu_ky!D10*Chu_ky!E10</f>
        <v>0</v>
      </c>
      <c r="H67" s="2" t="str">
        <f>Chu_ky!A10</f>
        <v>Có tải giảm a</v>
      </c>
      <c r="I67" s="5"/>
      <c r="J67" s="5"/>
      <c r="K67" s="5"/>
      <c r="L67" s="5"/>
      <c r="M67" s="5"/>
      <c r="N67" s="5"/>
    </row>
    <row r="68" spans="1:14" ht="32.1" customHeight="1">
      <c r="A68" s="1">
        <f>Chu_ky!H10+(Chu_ky!B10*8/10)</f>
        <v>89.85</v>
      </c>
      <c r="B68" s="2">
        <f>Chu_ky!D10*(Chu_ky!G10+Chu_ky!F10*(Chu_ky!B10*8/10)+0.5*Chu_ky!E10*(Chu_ky!B10*8/10)^2)</f>
        <v>2.4923076923076923E-2</v>
      </c>
      <c r="C68" s="2">
        <f>Chu_ky!C10*(Chu_ky!D10*Tinh_toan_x2!E14*Tinh_toan_x2!E17+F68)</f>
        <v>24261.971076923077</v>
      </c>
      <c r="D68" s="2">
        <f>E68*B68*2*Tinh_toan_x2!E13/Tinh_toan_x2!E12</f>
        <v>622.22172603550291</v>
      </c>
      <c r="E68" s="2">
        <f>C68*Tinh_toan_x2!E12/(2*Tinh_toan_x2!E15*Tinh_toan_x2!E13)+(Tinh_toan_x2!C47+Tinh_toan_x2!E52+Tinh_toan_x2!E53/Tinh_toan_x2!E13^2)*2*Tinh_toan_x2!E13/Tinh_toan_x2!E12*F68</f>
        <v>31.207108173076922</v>
      </c>
      <c r="F68" s="2">
        <f>Chu_ky!D10*(Chu_ky!F10+Chu_ky!E10*(Chu_ky!B10*8/10))</f>
        <v>-1.2307692307692309E-2</v>
      </c>
      <c r="G68" s="2">
        <f>Chu_ky!D10*Chu_ky!E10</f>
        <v>0</v>
      </c>
      <c r="H68" s="2" t="str">
        <f>Chu_ky!A10</f>
        <v>Có tải giảm a</v>
      </c>
      <c r="I68" s="5"/>
      <c r="J68" s="5"/>
      <c r="K68" s="5"/>
      <c r="L68" s="5"/>
      <c r="M68" s="5"/>
      <c r="N68" s="5"/>
    </row>
    <row r="69" spans="1:14" ht="32.1" customHeight="1">
      <c r="A69" s="1">
        <f>Chu_ky!H10+(Chu_ky!B10*9/10)</f>
        <v>90.8</v>
      </c>
      <c r="B69" s="2">
        <f>Chu_ky!D10*(Chu_ky!G10+Chu_ky!F10*(Chu_ky!B10*9/10)+0.5*Chu_ky!E10*(Chu_ky!B10*9/10)^2)</f>
        <v>1.3230769230769213E-2</v>
      </c>
      <c r="C69" s="2">
        <f>Chu_ky!C10*(Chu_ky!D10*Tinh_toan_x2!E14*Tinh_toan_x2!E17+F69)</f>
        <v>24261.971076923077</v>
      </c>
      <c r="D69" s="2">
        <f>E69*B69*2*Tinh_toan_x2!E13/Tinh_toan_x2!E12</f>
        <v>330.31523727810605</v>
      </c>
      <c r="E69" s="2">
        <f>C69*Tinh_toan_x2!E12/(2*Tinh_toan_x2!E15*Tinh_toan_x2!E13)+(Tinh_toan_x2!C47+Tinh_toan_x2!E52+Tinh_toan_x2!E53/Tinh_toan_x2!E13^2)*2*Tinh_toan_x2!E13/Tinh_toan_x2!E12*F69</f>
        <v>31.207108173076922</v>
      </c>
      <c r="F69" s="2">
        <f>Chu_ky!D10*(Chu_ky!F10+Chu_ky!E10*(Chu_ky!B10*9/10))</f>
        <v>-1.2307692307692309E-2</v>
      </c>
      <c r="G69" s="2">
        <f>Chu_ky!D10*Chu_ky!E10</f>
        <v>0</v>
      </c>
      <c r="H69" s="2" t="str">
        <f>Chu_ky!A10</f>
        <v>Có tải giảm a</v>
      </c>
      <c r="I69" s="5"/>
      <c r="J69" s="5"/>
      <c r="K69" s="5"/>
      <c r="L69" s="5"/>
      <c r="M69" s="5"/>
      <c r="N69" s="5"/>
    </row>
    <row r="70" spans="1:14" ht="32.1" customHeight="1">
      <c r="A70" s="1">
        <f>Chu_ky!H10+(Chu_ky!B10*10/10)</f>
        <v>91.75</v>
      </c>
      <c r="B70" s="2">
        <f>Chu_ky!D10*(Chu_ky!G10+Chu_ky!F10*(Chu_ky!B10*10/10)+0.5*Chu_ky!E10*(Chu_ky!B10*10/10)^2)</f>
        <v>1.5384615384615302E-3</v>
      </c>
      <c r="C70" s="2">
        <f>Chu_ky!C10*(Chu_ky!D10*Tinh_toan_x2!E14*Tinh_toan_x2!E17+F70)</f>
        <v>24261.971076923077</v>
      </c>
      <c r="D70" s="2">
        <f>E70*B70*2*Tinh_toan_x2!E13/Tinh_toan_x2!E12</f>
        <v>38.40874852070985</v>
      </c>
      <c r="E70" s="2">
        <f>C70*Tinh_toan_x2!E12/(2*Tinh_toan_x2!E15*Tinh_toan_x2!E13)+(Tinh_toan_x2!C47+Tinh_toan_x2!E52+Tinh_toan_x2!E53/Tinh_toan_x2!E13^2)*2*Tinh_toan_x2!E13/Tinh_toan_x2!E12*F70</f>
        <v>31.207108173076922</v>
      </c>
      <c r="F70" s="2">
        <f>Chu_ky!D10*(Chu_ky!F10+Chu_ky!E10*(Chu_ky!B10*10/10))</f>
        <v>-1.2307692307692309E-2</v>
      </c>
      <c r="G70" s="2">
        <f>Chu_ky!D10*Chu_ky!E10</f>
        <v>0</v>
      </c>
      <c r="H70" s="2" t="str">
        <f>Chu_ky!A10</f>
        <v>Có tải giảm a</v>
      </c>
      <c r="I70" s="5"/>
      <c r="J70" s="5"/>
      <c r="K70" s="5"/>
      <c r="L70" s="5"/>
      <c r="M70" s="5"/>
      <c r="N70" s="5"/>
    </row>
    <row r="71" spans="1:14" ht="32.1" customHeight="1">
      <c r="A71" s="1">
        <f>Chu_ky!H11+(Chu_ky!B11*0/10)</f>
        <v>91.75</v>
      </c>
      <c r="B71" s="2">
        <f>Chu_ky!D11*(Chu_ky!G11+Chu_ky!F11*(Chu_ky!B11*0/10)+0.5*Chu_ky!E11*(Chu_ky!B11*0/10)^2)</f>
        <v>1.5384615384615302E-3</v>
      </c>
      <c r="C71" s="2">
        <f>Chu_ky!C11*(Chu_ky!D11*Tinh_toan_x2!E14*Tinh_toan_x2!E17+F71)</f>
        <v>24261.971076923077</v>
      </c>
      <c r="D71" s="2">
        <f>E71*B71*2*Tinh_toan_x2!E13/Tinh_toan_x2!E12</f>
        <v>38.40874852070985</v>
      </c>
      <c r="E71" s="2">
        <f>C71*Tinh_toan_x2!E12/(2*Tinh_toan_x2!E15*Tinh_toan_x2!E13)+(Tinh_toan_x2!C47+Tinh_toan_x2!E52+Tinh_toan_x2!E53/Tinh_toan_x2!E13^2)*2*Tinh_toan_x2!E13/Tinh_toan_x2!E12*F71</f>
        <v>31.207108173076922</v>
      </c>
      <c r="F71" s="2">
        <f>Chu_ky!D11*(Chu_ky!F11+Chu_ky!E11*(Chu_ky!B11*0/10))</f>
        <v>-1.2307692307692309E-2</v>
      </c>
      <c r="G71" s="2">
        <f>Chu_ky!D11*Chu_ky!E11</f>
        <v>4.9230769230769238E-2</v>
      </c>
      <c r="H71" s="2" t="str">
        <f>Chu_ky!A11</f>
        <v>Có tải giảm j+</v>
      </c>
      <c r="I71" s="5"/>
      <c r="J71" s="5"/>
      <c r="K71" s="5"/>
      <c r="L71" s="5"/>
      <c r="M71" s="5"/>
      <c r="N71" s="5"/>
    </row>
    <row r="72" spans="1:14" ht="32.1" customHeight="1">
      <c r="A72" s="1">
        <f>Chu_ky!H11+(Chu_ky!B11*1/10)</f>
        <v>91.775000000000006</v>
      </c>
      <c r="B72" s="2">
        <f>Chu_ky!D11*(Chu_ky!G11+Chu_ky!F11*(Chu_ky!B11*1/10)+0.5*Chu_ky!E11*(Chu_ky!B11*1/10)^2)</f>
        <v>1.2461538461538378E-3</v>
      </c>
      <c r="C72" s="2">
        <f>Chu_ky!C11*(Chu_ky!D11*Tinh_toan_x2!E14*Tinh_toan_x2!E17+F72)</f>
        <v>24277.286769230774</v>
      </c>
      <c r="D72" s="2">
        <f>E72*B72*2*Tinh_toan_x2!E13/Tinh_toan_x2!E12</f>
        <v>31.169249094674349</v>
      </c>
      <c r="E72" s="2">
        <f>C72*Tinh_toan_x2!E12/(2*Tinh_toan_x2!E15*Tinh_toan_x2!E13)+(Tinh_toan_x2!C47+Tinh_toan_x2!E52+Tinh_toan_x2!E53/Tinh_toan_x2!E13^2)*2*Tinh_toan_x2!E13/Tinh_toan_x2!E12*F72</f>
        <v>31.265450480769235</v>
      </c>
      <c r="F72" s="2">
        <f>Chu_ky!D11*(Chu_ky!F11+Chu_ky!E11*(Chu_ky!B11*1/10))</f>
        <v>-1.1076923076923078E-2</v>
      </c>
      <c r="G72" s="2">
        <f>Chu_ky!D11*Chu_ky!E11</f>
        <v>4.9230769230769238E-2</v>
      </c>
      <c r="H72" s="2" t="str">
        <f>Chu_ky!A11</f>
        <v>Có tải giảm j+</v>
      </c>
      <c r="I72" s="5"/>
      <c r="J72" s="5"/>
      <c r="K72" s="5"/>
      <c r="L72" s="5"/>
      <c r="M72" s="5"/>
      <c r="N72" s="5"/>
    </row>
    <row r="73" spans="1:14" ht="32.1" customHeight="1">
      <c r="A73" s="1">
        <f>Chu_ky!H11+(Chu_ky!B11*2/10)</f>
        <v>91.8</v>
      </c>
      <c r="B73" s="2">
        <f>Chu_ky!D11*(Chu_ky!G11+Chu_ky!F11*(Chu_ky!B11*2/10)+0.5*Chu_ky!E11*(Chu_ky!B11*2/10)^2)</f>
        <v>9.8461538461537632E-4</v>
      </c>
      <c r="C73" s="2">
        <f>Chu_ky!C11*(Chu_ky!D11*Tinh_toan_x2!E14*Tinh_toan_x2!E17+F73)</f>
        <v>24292.602461538463</v>
      </c>
      <c r="D73" s="2">
        <f>E73*B73*2*Tinh_toan_x2!E13/Tinh_toan_x2!E12</f>
        <v>24.673510627218729</v>
      </c>
      <c r="E73" s="2">
        <f>C73*Tinh_toan_x2!E12/(2*Tinh_toan_x2!E15*Tinh_toan_x2!E13)+(Tinh_toan_x2!C47+Tinh_toan_x2!E52+Tinh_toan_x2!E53/Tinh_toan_x2!E13^2)*2*Tinh_toan_x2!E13/Tinh_toan_x2!E12*F73</f>
        <v>31.323792788461539</v>
      </c>
      <c r="F73" s="2">
        <f>Chu_ky!D11*(Chu_ky!F11+Chu_ky!E11*(Chu_ky!B11*2/10))</f>
        <v>-9.8461538461538482E-3</v>
      </c>
      <c r="G73" s="2">
        <f>Chu_ky!D11*Chu_ky!E11</f>
        <v>4.9230769230769238E-2</v>
      </c>
      <c r="H73" s="2" t="str">
        <f>Chu_ky!A11</f>
        <v>Có tải giảm j+</v>
      </c>
      <c r="I73" s="5"/>
      <c r="J73" s="5"/>
      <c r="K73" s="5"/>
      <c r="L73" s="5"/>
      <c r="M73" s="5"/>
      <c r="N73" s="5"/>
    </row>
    <row r="74" spans="1:14" ht="32.1" customHeight="1">
      <c r="A74" s="1">
        <f>Chu_ky!H11+(Chu_ky!B11*3/10)</f>
        <v>91.825000000000003</v>
      </c>
      <c r="B74" s="2">
        <f>Chu_ky!D11*(Chu_ky!G11+Chu_ky!F11*(Chu_ky!B11*3/10)+0.5*Chu_ky!E11*(Chu_ky!B11*3/10)^2)</f>
        <v>7.5384615384614553E-4</v>
      </c>
      <c r="C74" s="2">
        <f>Chu_ky!C11*(Chu_ky!D11*Tinh_toan_x2!E14*Tinh_toan_x2!E17+F74)</f>
        <v>24307.918153846156</v>
      </c>
      <c r="D74" s="2">
        <f>E74*B74*2*Tinh_toan_x2!E13/Tinh_toan_x2!E12</f>
        <v>18.925841473372571</v>
      </c>
      <c r="E74" s="2">
        <f>C74*Tinh_toan_x2!E12/(2*Tinh_toan_x2!E15*Tinh_toan_x2!E13)+(Tinh_toan_x2!C47+Tinh_toan_x2!E52+Tinh_toan_x2!E53/Tinh_toan_x2!E13^2)*2*Tinh_toan_x2!E13/Tinh_toan_x2!E12*F74</f>
        <v>31.382135096153849</v>
      </c>
      <c r="F74" s="2">
        <f>Chu_ky!D11*(Chu_ky!F11+Chu_ky!E11*(Chu_ky!B11*3/10))</f>
        <v>-8.6153846153846168E-3</v>
      </c>
      <c r="G74" s="2">
        <f>Chu_ky!D11*Chu_ky!E11</f>
        <v>4.9230769230769238E-2</v>
      </c>
      <c r="H74" s="2" t="str">
        <f>Chu_ky!A11</f>
        <v>Có tải giảm j+</v>
      </c>
      <c r="I74" s="5"/>
      <c r="J74" s="5"/>
      <c r="K74" s="5"/>
      <c r="L74" s="5"/>
      <c r="M74" s="5"/>
      <c r="N74" s="5"/>
    </row>
    <row r="75" spans="1:14" ht="32.1" customHeight="1">
      <c r="A75" s="1">
        <f>Chu_ky!H11+(Chu_ky!B11*4/10)</f>
        <v>91.85</v>
      </c>
      <c r="B75" s="2">
        <f>Chu_ky!D11*(Chu_ky!G11+Chu_ky!F11*(Chu_ky!B11*4/10)+0.5*Chu_ky!E11*(Chu_ky!B11*4/10)^2)</f>
        <v>5.5384615384614544E-4</v>
      </c>
      <c r="C75" s="2">
        <f>Chu_ky!C11*(Chu_ky!D11*Tinh_toan_x2!E14*Tinh_toan_x2!E17+F75)</f>
        <v>24323.233846153849</v>
      </c>
      <c r="D75" s="2">
        <f>E75*B75*2*Tinh_toan_x2!E13/Tinh_toan_x2!E12</f>
        <v>13.930549988165472</v>
      </c>
      <c r="E75" s="2">
        <f>C75*Tinh_toan_x2!E12/(2*Tinh_toan_x2!E15*Tinh_toan_x2!E13)+(Tinh_toan_x2!C47+Tinh_toan_x2!E52+Tinh_toan_x2!E53/Tinh_toan_x2!E13^2)*2*Tinh_toan_x2!E13/Tinh_toan_x2!E12*F75</f>
        <v>31.44047740384616</v>
      </c>
      <c r="F75" s="2">
        <f>Chu_ky!D11*(Chu_ky!F11+Chu_ky!E11*(Chu_ky!B11*4/10))</f>
        <v>-7.3846153846153853E-3</v>
      </c>
      <c r="G75" s="2">
        <f>Chu_ky!D11*Chu_ky!E11</f>
        <v>4.9230769230769238E-2</v>
      </c>
      <c r="H75" s="2" t="str">
        <f>Chu_ky!A11</f>
        <v>Có tải giảm j+</v>
      </c>
      <c r="I75" s="5"/>
      <c r="J75" s="5"/>
      <c r="K75" s="5"/>
      <c r="L75" s="5"/>
      <c r="M75" s="5"/>
      <c r="N75" s="5"/>
    </row>
    <row r="76" spans="1:14" ht="32.1" customHeight="1">
      <c r="A76" s="1">
        <f>Chu_ky!H11+(Chu_ky!B11*5/10)</f>
        <v>91.875</v>
      </c>
      <c r="B76" s="2">
        <f>Chu_ky!D11*(Chu_ky!G11+Chu_ky!F11*(Chu_ky!B11*5/10)+0.5*Chu_ky!E11*(Chu_ky!B11*5/10)^2)</f>
        <v>3.8461538461537621E-4</v>
      </c>
      <c r="C76" s="2">
        <f>Chu_ky!C11*(Chu_ky!D11*Tinh_toan_x2!E14*Tinh_toan_x2!E17+F76)</f>
        <v>24338.549538461539</v>
      </c>
      <c r="D76" s="2">
        <f>E76*B76*2*Tinh_toan_x2!E13/Tinh_toan_x2!E12</f>
        <v>9.6919445266270081</v>
      </c>
      <c r="E76" s="2">
        <f>C76*Tinh_toan_x2!E12/(2*Tinh_toan_x2!E15*Tinh_toan_x2!E13)+(Tinh_toan_x2!C47+Tinh_toan_x2!E52+Tinh_toan_x2!E53/Tinh_toan_x2!E13^2)*2*Tinh_toan_x2!E13/Tinh_toan_x2!E12*F76</f>
        <v>31.498819711538463</v>
      </c>
      <c r="F76" s="2">
        <f>Chu_ky!D11*(Chu_ky!F11+Chu_ky!E11*(Chu_ky!B11*5/10))</f>
        <v>-6.1538461538461547E-3</v>
      </c>
      <c r="G76" s="2">
        <f>Chu_ky!D11*Chu_ky!E11</f>
        <v>4.9230769230769238E-2</v>
      </c>
      <c r="H76" s="2" t="str">
        <f>Chu_ky!A11</f>
        <v>Có tải giảm j+</v>
      </c>
      <c r="I76" s="5"/>
      <c r="J76" s="5"/>
      <c r="K76" s="5"/>
      <c r="L76" s="5"/>
      <c r="M76" s="5"/>
      <c r="N76" s="5"/>
    </row>
    <row r="77" spans="1:14" ht="32.1" customHeight="1">
      <c r="A77" s="1">
        <f>Chu_ky!H11+(Chu_ky!B11*6/10)</f>
        <v>91.9</v>
      </c>
      <c r="B77" s="2">
        <f>Chu_ky!D11*(Chu_ky!G11+Chu_ky!F11*(Chu_ky!B11*6/10)+0.5*Chu_ky!E11*(Chu_ky!B11*6/10)^2)</f>
        <v>2.4615384615383779E-4</v>
      </c>
      <c r="C77" s="2">
        <f>Chu_ky!C11*(Chu_ky!D11*Tinh_toan_x2!E14*Tinh_toan_x2!E17+F77)</f>
        <v>24353.865230769232</v>
      </c>
      <c r="D77" s="2">
        <f>E77*B77*2*Tinh_toan_x2!E13/Tinh_toan_x2!E12</f>
        <v>6.2143334437867717</v>
      </c>
      <c r="E77" s="2">
        <f>C77*Tinh_toan_x2!E12/(2*Tinh_toan_x2!E15*Tinh_toan_x2!E13)+(Tinh_toan_x2!C47+Tinh_toan_x2!E52+Tinh_toan_x2!E53/Tinh_toan_x2!E13^2)*2*Tinh_toan_x2!E13/Tinh_toan_x2!E12*F77</f>
        <v>31.55716201923077</v>
      </c>
      <c r="F77" s="2">
        <f>Chu_ky!D11*(Chu_ky!F11+Chu_ky!E11*(Chu_ky!B11*6/10))</f>
        <v>-4.9230769230769241E-3</v>
      </c>
      <c r="G77" s="2">
        <f>Chu_ky!D11*Chu_ky!E11</f>
        <v>4.9230769230769238E-2</v>
      </c>
      <c r="H77" s="2" t="str">
        <f>Chu_ky!A11</f>
        <v>Có tải giảm j+</v>
      </c>
      <c r="I77" s="5"/>
      <c r="J77" s="5"/>
      <c r="K77" s="5"/>
      <c r="L77" s="5"/>
      <c r="M77" s="5"/>
      <c r="N77" s="5"/>
    </row>
    <row r="78" spans="1:14" ht="32.1" customHeight="1">
      <c r="A78" s="1">
        <f>Chu_ky!H11+(Chu_ky!B11*7/10)</f>
        <v>91.924999999999997</v>
      </c>
      <c r="B78" s="2">
        <f>Chu_ky!D11*(Chu_ky!G11+Chu_ky!F11*(Chu_ky!B11*7/10)+0.5*Chu_ky!E11*(Chu_ky!B11*7/10)^2)</f>
        <v>1.3846153846152991E-4</v>
      </c>
      <c r="C78" s="2">
        <f>Chu_ky!C11*(Chu_ky!D11*Tinh_toan_x2!E14*Tinh_toan_x2!E17+F78)</f>
        <v>24369.180923076925</v>
      </c>
      <c r="D78" s="2">
        <f>E78*B78*2*Tinh_toan_x2!E13/Tinh_toan_x2!E12</f>
        <v>3.5020250946743401</v>
      </c>
      <c r="E78" s="2">
        <f>C78*Tinh_toan_x2!E12/(2*Tinh_toan_x2!E15*Tinh_toan_x2!E13)+(Tinh_toan_x2!C47+Tinh_toan_x2!E52+Tinh_toan_x2!E53/Tinh_toan_x2!E13^2)*2*Tinh_toan_x2!E13/Tinh_toan_x2!E12*F78</f>
        <v>31.615504326923077</v>
      </c>
      <c r="F78" s="2">
        <f>Chu_ky!D11*(Chu_ky!F11+Chu_ky!E11*(Chu_ky!B11*7/10))</f>
        <v>-3.6923076923076927E-3</v>
      </c>
      <c r="G78" s="2">
        <f>Chu_ky!D11*Chu_ky!E11</f>
        <v>4.9230769230769238E-2</v>
      </c>
      <c r="H78" s="2" t="str">
        <f>Chu_ky!A11</f>
        <v>Có tải giảm j+</v>
      </c>
      <c r="I78" s="5"/>
      <c r="J78" s="5"/>
      <c r="K78" s="5"/>
      <c r="L78" s="5"/>
      <c r="M78" s="5"/>
      <c r="N78" s="5"/>
    </row>
    <row r="79" spans="1:14" ht="32.1" customHeight="1">
      <c r="A79" s="1">
        <f>Chu_ky!H11+(Chu_ky!B11*8/10)</f>
        <v>91.95</v>
      </c>
      <c r="B79" s="2">
        <f>Chu_ky!D11*(Chu_ky!G11+Chu_ky!F11*(Chu_ky!B11*8/10)+0.5*Chu_ky!E11*(Chu_ky!B11*8/10)^2)</f>
        <v>6.153846153845316E-5</v>
      </c>
      <c r="C79" s="2">
        <f>Chu_ky!C11*(Chu_ky!D11*Tinh_toan_x2!E14*Tinh_toan_x2!E17+F79)</f>
        <v>24384.496615384618</v>
      </c>
      <c r="D79" s="2">
        <f>E79*B79*2*Tinh_toan_x2!E13/Tinh_toan_x2!E12</f>
        <v>1.5593278343193147</v>
      </c>
      <c r="E79" s="2">
        <f>C79*Tinh_toan_x2!E12/(2*Tinh_toan_x2!E15*Tinh_toan_x2!E13)+(Tinh_toan_x2!C47+Tinh_toan_x2!E52+Tinh_toan_x2!E53/Tinh_toan_x2!E13^2)*2*Tinh_toan_x2!E13/Tinh_toan_x2!E12*F79</f>
        <v>31.673846634615391</v>
      </c>
      <c r="F79" s="2">
        <f>Chu_ky!D11*(Chu_ky!F11+Chu_ky!E11*(Chu_ky!B11*8/10))</f>
        <v>-2.4615384615384612E-3</v>
      </c>
      <c r="G79" s="2">
        <f>Chu_ky!D11*Chu_ky!E11</f>
        <v>4.9230769230769238E-2</v>
      </c>
      <c r="H79" s="2" t="str">
        <f>Chu_ky!A11</f>
        <v>Có tải giảm j+</v>
      </c>
      <c r="I79" s="5"/>
      <c r="J79" s="5"/>
      <c r="K79" s="5"/>
      <c r="L79" s="5"/>
      <c r="M79" s="5"/>
      <c r="N79" s="5"/>
    </row>
    <row r="80" spans="1:14" ht="32.1" customHeight="1">
      <c r="A80" s="1">
        <f>Chu_ky!H11+(Chu_ky!B11*9/10)</f>
        <v>91.974999999999994</v>
      </c>
      <c r="B80" s="2">
        <f>Chu_ky!D11*(Chu_ky!G11+Chu_ky!F11*(Chu_ky!B11*9/10)+0.5*Chu_ky!E11*(Chu_ky!B11*9/10)^2)</f>
        <v>1.5384615384607218E-5</v>
      </c>
      <c r="C80" s="2">
        <f>Chu_ky!C11*(Chu_ky!D11*Tinh_toan_x2!E14*Tinh_toan_x2!E17+F80)</f>
        <v>24399.812307692311</v>
      </c>
      <c r="D80" s="2">
        <f>E80*B80*2*Tinh_toan_x2!E13/Tinh_toan_x2!E12</f>
        <v>0.39055001775127202</v>
      </c>
      <c r="E80" s="2">
        <f>C80*Tinh_toan_x2!E12/(2*Tinh_toan_x2!E15*Tinh_toan_x2!E13)+(Tinh_toan_x2!C47+Tinh_toan_x2!E52+Tinh_toan_x2!E53/Tinh_toan_x2!E13^2)*2*Tinh_toan_x2!E13/Tinh_toan_x2!E12*F80</f>
        <v>31.732188942307697</v>
      </c>
      <c r="F80" s="2">
        <f>Chu_ky!D11*(Chu_ky!F11+Chu_ky!E11*(Chu_ky!B11*9/10))</f>
        <v>-1.2307692307692315E-3</v>
      </c>
      <c r="G80" s="2">
        <f>Chu_ky!D11*Chu_ky!E11</f>
        <v>4.9230769230769238E-2</v>
      </c>
      <c r="H80" s="2" t="str">
        <f>Chu_ky!A11</f>
        <v>Có tải giảm j+</v>
      </c>
      <c r="I80" s="5"/>
      <c r="J80" s="5"/>
      <c r="K80" s="5"/>
      <c r="L80" s="5"/>
      <c r="M80" s="5"/>
      <c r="N80" s="5"/>
    </row>
    <row r="81" spans="1:14" ht="32.1" customHeight="1">
      <c r="A81" s="1">
        <f>Chu_ky!H11+(Chu_ky!B11*10/10)</f>
        <v>92</v>
      </c>
      <c r="B81" s="2">
        <f>Chu_ky!D11*(Chu_ky!G11+Chu_ky!F11*(Chu_ky!B11*10/10)+0.5*Chu_ky!E11*(Chu_ky!B11*10/10)^2)</f>
        <v>-8.4567769453869346E-18</v>
      </c>
      <c r="C81" s="2">
        <f>Chu_ky!C11*(Chu_ky!D11*Tinh_toan_x2!E14*Tinh_toan_x2!E17+F81)</f>
        <v>24415.128000000001</v>
      </c>
      <c r="D81" s="2">
        <f>E81*B81*2*Tinh_toan_x2!E13/Tinh_toan_x2!E12</f>
        <v>-2.150763454052823E-13</v>
      </c>
      <c r="E81" s="2">
        <f>C81*Tinh_toan_x2!E12/(2*Tinh_toan_x2!E15*Tinh_toan_x2!E13)+(Tinh_toan_x2!C47+Tinh_toan_x2!E52+Tinh_toan_x2!E53/Tinh_toan_x2!E13^2)*2*Tinh_toan_x2!E13/Tinh_toan_x2!E12*F81</f>
        <v>31.790531250000001</v>
      </c>
      <c r="F81" s="2">
        <f>Chu_ky!D11*(Chu_ky!F11+Chu_ky!E11*(Chu_ky!B11*10/10))</f>
        <v>0</v>
      </c>
      <c r="G81" s="2">
        <f>Chu_ky!D11*Chu_ky!E11</f>
        <v>4.9230769230769238E-2</v>
      </c>
      <c r="H81" s="2" t="str">
        <f>Chu_ky!A11</f>
        <v>Có tải giảm j+</v>
      </c>
      <c r="I81" s="5"/>
      <c r="J81" s="5"/>
      <c r="K81" s="5"/>
      <c r="L81" s="5"/>
      <c r="M81" s="5"/>
      <c r="N81" s="5"/>
    </row>
    <row r="82" spans="1:14" ht="32.1" customHeight="1">
      <c r="A82" s="1">
        <f>Chu_ky!H12+(Chu_ky!B12*0/10)</f>
        <v>92</v>
      </c>
      <c r="B82" s="2">
        <f>Chu_ky!D12*(Chu_ky!G12+Chu_ky!F12*(Chu_ky!B12*0/10)+0.5*Chu_ky!E12*(Chu_ky!B12*0/10)^2)</f>
        <v>0</v>
      </c>
      <c r="C82" s="2">
        <f>Chu_ky!C12*(Chu_ky!D12*Tinh_toan_x2!E14*Tinh_toan_x2!E17+F82)</f>
        <v>0</v>
      </c>
      <c r="D82" s="2">
        <f>E82*B82*2*Tinh_toan_x2!E13/Tinh_toan_x2!E12</f>
        <v>0</v>
      </c>
      <c r="E82" s="2">
        <f>C82*Tinh_toan_x2!E12/(2*Tinh_toan_x2!E15*Tinh_toan_x2!E13)+(Tinh_toan_x2!C47+Tinh_toan_x2!E52+Tinh_toan_x2!E53/Tinh_toan_x2!E13^2)*2*Tinh_toan_x2!E13/Tinh_toan_x2!E12*F82</f>
        <v>0</v>
      </c>
      <c r="F82" s="2">
        <f>Chu_ky!D12*(Chu_ky!F12+Chu_ky!E12*(Chu_ky!B12*0/10))</f>
        <v>0</v>
      </c>
      <c r="G82" s="2">
        <f>Chu_ky!D12*Chu_ky!E12</f>
        <v>0</v>
      </c>
      <c r="H82" s="2" t="str">
        <f>Chu_ky!A12</f>
        <v>Nghỉ</v>
      </c>
      <c r="I82" s="5"/>
      <c r="J82" s="5"/>
      <c r="K82" s="5"/>
      <c r="L82" s="5"/>
      <c r="M82" s="5"/>
      <c r="N82" s="5"/>
    </row>
    <row r="83" spans="1:14" ht="32.1" customHeight="1">
      <c r="A83" s="1">
        <f>Chu_ky!H12+(Chu_ky!B12*1/10)</f>
        <v>95</v>
      </c>
      <c r="B83" s="2">
        <f>Chu_ky!D12*(Chu_ky!G12+Chu_ky!F12*(Chu_ky!B12*1/10)+0.5*Chu_ky!E12*(Chu_ky!B12*1/10)^2)</f>
        <v>0</v>
      </c>
      <c r="C83" s="2">
        <f>Chu_ky!C12*(Chu_ky!D12*Tinh_toan_x2!E14*Tinh_toan_x2!E17+F83)</f>
        <v>0</v>
      </c>
      <c r="D83" s="2">
        <f>E83*B83*2*Tinh_toan_x2!E13/Tinh_toan_x2!E12</f>
        <v>0</v>
      </c>
      <c r="E83" s="2">
        <f>C83*Tinh_toan_x2!E12/(2*Tinh_toan_x2!E15*Tinh_toan_x2!E13)+(Tinh_toan_x2!C47+Tinh_toan_x2!E52+Tinh_toan_x2!E53/Tinh_toan_x2!E13^2)*2*Tinh_toan_x2!E13/Tinh_toan_x2!E12*F83</f>
        <v>0</v>
      </c>
      <c r="F83" s="2">
        <f>Chu_ky!D12*(Chu_ky!F12+Chu_ky!E12*(Chu_ky!B12*1/10))</f>
        <v>0</v>
      </c>
      <c r="G83" s="2">
        <f>Chu_ky!D12*Chu_ky!E12</f>
        <v>0</v>
      </c>
      <c r="H83" s="2" t="str">
        <f>Chu_ky!A12</f>
        <v>Nghỉ</v>
      </c>
      <c r="I83" s="5"/>
      <c r="J83" s="5"/>
      <c r="K83" s="5"/>
      <c r="L83" s="5"/>
      <c r="M83" s="5"/>
      <c r="N83" s="5"/>
    </row>
    <row r="84" spans="1:14" ht="32.1" customHeight="1">
      <c r="A84" s="1">
        <f>Chu_ky!H12+(Chu_ky!B12*2/10)</f>
        <v>98</v>
      </c>
      <c r="B84" s="2">
        <f>Chu_ky!D12*(Chu_ky!G12+Chu_ky!F12*(Chu_ky!B12*2/10)+0.5*Chu_ky!E12*(Chu_ky!B12*2/10)^2)</f>
        <v>0</v>
      </c>
      <c r="C84" s="2">
        <f>Chu_ky!C12*(Chu_ky!D12*Tinh_toan_x2!E14*Tinh_toan_x2!E17+F84)</f>
        <v>0</v>
      </c>
      <c r="D84" s="2">
        <f>E84*B84*2*Tinh_toan_x2!E13/Tinh_toan_x2!E12</f>
        <v>0</v>
      </c>
      <c r="E84" s="2">
        <f>C84*Tinh_toan_x2!E12/(2*Tinh_toan_x2!E15*Tinh_toan_x2!E13)+(Tinh_toan_x2!C47+Tinh_toan_x2!E52+Tinh_toan_x2!E53/Tinh_toan_x2!E13^2)*2*Tinh_toan_x2!E13/Tinh_toan_x2!E12*F84</f>
        <v>0</v>
      </c>
      <c r="F84" s="2">
        <f>Chu_ky!D12*(Chu_ky!F12+Chu_ky!E12*(Chu_ky!B12*2/10))</f>
        <v>0</v>
      </c>
      <c r="G84" s="2">
        <f>Chu_ky!D12*Chu_ky!E12</f>
        <v>0</v>
      </c>
      <c r="H84" s="2" t="str">
        <f>Chu_ky!A12</f>
        <v>Nghỉ</v>
      </c>
      <c r="I84" s="5"/>
      <c r="J84" s="5"/>
      <c r="K84" s="5"/>
      <c r="L84" s="5"/>
      <c r="M84" s="5"/>
      <c r="N84" s="5"/>
    </row>
    <row r="85" spans="1:14" ht="32.1" customHeight="1">
      <c r="A85" s="1">
        <f>Chu_ky!H12+(Chu_ky!B12*3/10)</f>
        <v>101</v>
      </c>
      <c r="B85" s="2">
        <f>Chu_ky!D12*(Chu_ky!G12+Chu_ky!F12*(Chu_ky!B12*3/10)+0.5*Chu_ky!E12*(Chu_ky!B12*3/10)^2)</f>
        <v>0</v>
      </c>
      <c r="C85" s="2">
        <f>Chu_ky!C12*(Chu_ky!D12*Tinh_toan_x2!E14*Tinh_toan_x2!E17+F85)</f>
        <v>0</v>
      </c>
      <c r="D85" s="2">
        <f>E85*B85*2*Tinh_toan_x2!E13/Tinh_toan_x2!E12</f>
        <v>0</v>
      </c>
      <c r="E85" s="2">
        <f>C85*Tinh_toan_x2!E12/(2*Tinh_toan_x2!E15*Tinh_toan_x2!E13)+(Tinh_toan_x2!C47+Tinh_toan_x2!E52+Tinh_toan_x2!E53/Tinh_toan_x2!E13^2)*2*Tinh_toan_x2!E13/Tinh_toan_x2!E12*F85</f>
        <v>0</v>
      </c>
      <c r="F85" s="2">
        <f>Chu_ky!D12*(Chu_ky!F12+Chu_ky!E12*(Chu_ky!B12*3/10))</f>
        <v>0</v>
      </c>
      <c r="G85" s="2">
        <f>Chu_ky!D12*Chu_ky!E12</f>
        <v>0</v>
      </c>
      <c r="H85" s="2" t="str">
        <f>Chu_ky!A12</f>
        <v>Nghỉ</v>
      </c>
      <c r="I85" s="5"/>
      <c r="J85" s="5"/>
      <c r="K85" s="5"/>
      <c r="L85" s="5"/>
      <c r="M85" s="5"/>
      <c r="N85" s="5"/>
    </row>
    <row r="86" spans="1:14" ht="32.1" customHeight="1">
      <c r="A86" s="1">
        <f>Chu_ky!H12+(Chu_ky!B12*4/10)</f>
        <v>104</v>
      </c>
      <c r="B86" s="2">
        <f>Chu_ky!D12*(Chu_ky!G12+Chu_ky!F12*(Chu_ky!B12*4/10)+0.5*Chu_ky!E12*(Chu_ky!B12*4/10)^2)</f>
        <v>0</v>
      </c>
      <c r="C86" s="2">
        <f>Chu_ky!C12*(Chu_ky!D12*Tinh_toan_x2!E14*Tinh_toan_x2!E17+F86)</f>
        <v>0</v>
      </c>
      <c r="D86" s="2">
        <f>E86*B86*2*Tinh_toan_x2!E13/Tinh_toan_x2!E12</f>
        <v>0</v>
      </c>
      <c r="E86" s="2">
        <f>C86*Tinh_toan_x2!E12/(2*Tinh_toan_x2!E15*Tinh_toan_x2!E13)+(Tinh_toan_x2!C47+Tinh_toan_x2!E52+Tinh_toan_x2!E53/Tinh_toan_x2!E13^2)*2*Tinh_toan_x2!E13/Tinh_toan_x2!E12*F86</f>
        <v>0</v>
      </c>
      <c r="F86" s="2">
        <f>Chu_ky!D12*(Chu_ky!F12+Chu_ky!E12*(Chu_ky!B12*4/10))</f>
        <v>0</v>
      </c>
      <c r="G86" s="2">
        <f>Chu_ky!D12*Chu_ky!E12</f>
        <v>0</v>
      </c>
      <c r="H86" s="2" t="str">
        <f>Chu_ky!A12</f>
        <v>Nghỉ</v>
      </c>
      <c r="I86" s="5"/>
      <c r="J86" s="5"/>
      <c r="K86" s="5"/>
      <c r="L86" s="5"/>
      <c r="M86" s="5"/>
      <c r="N86" s="5"/>
    </row>
    <row r="87" spans="1:14" ht="32.1" customHeight="1">
      <c r="A87" s="1">
        <f>Chu_ky!H12+(Chu_ky!B12*5/10)</f>
        <v>107</v>
      </c>
      <c r="B87" s="2">
        <f>Chu_ky!D12*(Chu_ky!G12+Chu_ky!F12*(Chu_ky!B12*5/10)+0.5*Chu_ky!E12*(Chu_ky!B12*5/10)^2)</f>
        <v>0</v>
      </c>
      <c r="C87" s="2">
        <f>Chu_ky!C12*(Chu_ky!D12*Tinh_toan_x2!E14*Tinh_toan_x2!E17+F87)</f>
        <v>0</v>
      </c>
      <c r="D87" s="2">
        <f>E87*B87*2*Tinh_toan_x2!E13/Tinh_toan_x2!E12</f>
        <v>0</v>
      </c>
      <c r="E87" s="2">
        <f>C87*Tinh_toan_x2!E12/(2*Tinh_toan_x2!E15*Tinh_toan_x2!E13)+(Tinh_toan_x2!C47+Tinh_toan_x2!E52+Tinh_toan_x2!E53/Tinh_toan_x2!E13^2)*2*Tinh_toan_x2!E13/Tinh_toan_x2!E12*F87</f>
        <v>0</v>
      </c>
      <c r="F87" s="2">
        <f>Chu_ky!D12*(Chu_ky!F12+Chu_ky!E12*(Chu_ky!B12*5/10))</f>
        <v>0</v>
      </c>
      <c r="G87" s="2">
        <f>Chu_ky!D12*Chu_ky!E12</f>
        <v>0</v>
      </c>
      <c r="H87" s="2" t="str">
        <f>Chu_ky!A12</f>
        <v>Nghỉ</v>
      </c>
      <c r="I87" s="5"/>
      <c r="J87" s="5"/>
      <c r="K87" s="5"/>
      <c r="L87" s="5"/>
      <c r="M87" s="5"/>
      <c r="N87" s="5"/>
    </row>
    <row r="88" spans="1:14" ht="32.1" customHeight="1">
      <c r="A88" s="1">
        <f>Chu_ky!H12+(Chu_ky!B12*6/10)</f>
        <v>110</v>
      </c>
      <c r="B88" s="2">
        <f>Chu_ky!D12*(Chu_ky!G12+Chu_ky!F12*(Chu_ky!B12*6/10)+0.5*Chu_ky!E12*(Chu_ky!B12*6/10)^2)</f>
        <v>0</v>
      </c>
      <c r="C88" s="2">
        <f>Chu_ky!C12*(Chu_ky!D12*Tinh_toan_x2!E14*Tinh_toan_x2!E17+F88)</f>
        <v>0</v>
      </c>
      <c r="D88" s="2">
        <f>E88*B88*2*Tinh_toan_x2!E13/Tinh_toan_x2!E12</f>
        <v>0</v>
      </c>
      <c r="E88" s="2">
        <f>C88*Tinh_toan_x2!E12/(2*Tinh_toan_x2!E15*Tinh_toan_x2!E13)+(Tinh_toan_x2!C47+Tinh_toan_x2!E52+Tinh_toan_x2!E53/Tinh_toan_x2!E13^2)*2*Tinh_toan_x2!E13/Tinh_toan_x2!E12*F88</f>
        <v>0</v>
      </c>
      <c r="F88" s="2">
        <f>Chu_ky!D12*(Chu_ky!F12+Chu_ky!E12*(Chu_ky!B12*6/10))</f>
        <v>0</v>
      </c>
      <c r="G88" s="2">
        <f>Chu_ky!D12*Chu_ky!E12</f>
        <v>0</v>
      </c>
      <c r="H88" s="2" t="str">
        <f>Chu_ky!A12</f>
        <v>Nghỉ</v>
      </c>
      <c r="I88" s="5"/>
      <c r="J88" s="5"/>
      <c r="K88" s="5"/>
      <c r="L88" s="5"/>
      <c r="M88" s="5"/>
      <c r="N88" s="5"/>
    </row>
    <row r="89" spans="1:14" ht="32.1" customHeight="1">
      <c r="A89" s="1">
        <f>Chu_ky!H12+(Chu_ky!B12*7/10)</f>
        <v>113</v>
      </c>
      <c r="B89" s="2">
        <f>Chu_ky!D12*(Chu_ky!G12+Chu_ky!F12*(Chu_ky!B12*7/10)+0.5*Chu_ky!E12*(Chu_ky!B12*7/10)^2)</f>
        <v>0</v>
      </c>
      <c r="C89" s="2">
        <f>Chu_ky!C12*(Chu_ky!D12*Tinh_toan_x2!E14*Tinh_toan_x2!E17+F89)</f>
        <v>0</v>
      </c>
      <c r="D89" s="2">
        <f>E89*B89*2*Tinh_toan_x2!E13/Tinh_toan_x2!E12</f>
        <v>0</v>
      </c>
      <c r="E89" s="2">
        <f>C89*Tinh_toan_x2!E12/(2*Tinh_toan_x2!E15*Tinh_toan_x2!E13)+(Tinh_toan_x2!C47+Tinh_toan_x2!E52+Tinh_toan_x2!E53/Tinh_toan_x2!E13^2)*2*Tinh_toan_x2!E13/Tinh_toan_x2!E12*F89</f>
        <v>0</v>
      </c>
      <c r="F89" s="2">
        <f>Chu_ky!D12*(Chu_ky!F12+Chu_ky!E12*(Chu_ky!B12*7/10))</f>
        <v>0</v>
      </c>
      <c r="G89" s="2">
        <f>Chu_ky!D12*Chu_ky!E12</f>
        <v>0</v>
      </c>
      <c r="H89" s="2" t="str">
        <f>Chu_ky!A12</f>
        <v>Nghỉ</v>
      </c>
      <c r="I89" s="5"/>
      <c r="J89" s="5"/>
      <c r="K89" s="5"/>
      <c r="L89" s="5"/>
      <c r="M89" s="5"/>
      <c r="N89" s="5"/>
    </row>
    <row r="90" spans="1:14" ht="32.1" customHeight="1">
      <c r="A90" s="1">
        <f>Chu_ky!H12+(Chu_ky!B12*8/10)</f>
        <v>116</v>
      </c>
      <c r="B90" s="2">
        <f>Chu_ky!D12*(Chu_ky!G12+Chu_ky!F12*(Chu_ky!B12*8/10)+0.5*Chu_ky!E12*(Chu_ky!B12*8/10)^2)</f>
        <v>0</v>
      </c>
      <c r="C90" s="2">
        <f>Chu_ky!C12*(Chu_ky!D12*Tinh_toan_x2!E14*Tinh_toan_x2!E17+F90)</f>
        <v>0</v>
      </c>
      <c r="D90" s="2">
        <f>E90*B90*2*Tinh_toan_x2!E13/Tinh_toan_x2!E12</f>
        <v>0</v>
      </c>
      <c r="E90" s="2">
        <f>C90*Tinh_toan_x2!E12/(2*Tinh_toan_x2!E15*Tinh_toan_x2!E13)+(Tinh_toan_x2!C47+Tinh_toan_x2!E52+Tinh_toan_x2!E53/Tinh_toan_x2!E13^2)*2*Tinh_toan_x2!E13/Tinh_toan_x2!E12*F90</f>
        <v>0</v>
      </c>
      <c r="F90" s="2">
        <f>Chu_ky!D12*(Chu_ky!F12+Chu_ky!E12*(Chu_ky!B12*8/10))</f>
        <v>0</v>
      </c>
      <c r="G90" s="2">
        <f>Chu_ky!D12*Chu_ky!E12</f>
        <v>0</v>
      </c>
      <c r="H90" s="2" t="str">
        <f>Chu_ky!A12</f>
        <v>Nghỉ</v>
      </c>
      <c r="I90" s="5"/>
      <c r="J90" s="5"/>
      <c r="K90" s="5"/>
      <c r="L90" s="5"/>
      <c r="M90" s="5"/>
      <c r="N90" s="5"/>
    </row>
    <row r="91" spans="1:14" ht="32.1" customHeight="1">
      <c r="A91" s="1">
        <f>Chu_ky!H12+(Chu_ky!B12*9/10)</f>
        <v>119</v>
      </c>
      <c r="B91" s="2">
        <f>Chu_ky!D12*(Chu_ky!G12+Chu_ky!F12*(Chu_ky!B12*9/10)+0.5*Chu_ky!E12*(Chu_ky!B12*9/10)^2)</f>
        <v>0</v>
      </c>
      <c r="C91" s="2">
        <f>Chu_ky!C12*(Chu_ky!D12*Tinh_toan_x2!E14*Tinh_toan_x2!E17+F91)</f>
        <v>0</v>
      </c>
      <c r="D91" s="2">
        <f>E91*B91*2*Tinh_toan_x2!E13/Tinh_toan_x2!E12</f>
        <v>0</v>
      </c>
      <c r="E91" s="2">
        <f>C91*Tinh_toan_x2!E12/(2*Tinh_toan_x2!E15*Tinh_toan_x2!E13)+(Tinh_toan_x2!C47+Tinh_toan_x2!E52+Tinh_toan_x2!E53/Tinh_toan_x2!E13^2)*2*Tinh_toan_x2!E13/Tinh_toan_x2!E12*F91</f>
        <v>0</v>
      </c>
      <c r="F91" s="2">
        <f>Chu_ky!D12*(Chu_ky!F12+Chu_ky!E12*(Chu_ky!B12*9/10))</f>
        <v>0</v>
      </c>
      <c r="G91" s="2">
        <f>Chu_ky!D12*Chu_ky!E12</f>
        <v>0</v>
      </c>
      <c r="H91" s="2" t="str">
        <f>Chu_ky!A12</f>
        <v>Nghỉ</v>
      </c>
      <c r="I91" s="5"/>
      <c r="J91" s="5"/>
      <c r="K91" s="5"/>
      <c r="L91" s="5"/>
      <c r="M91" s="5"/>
      <c r="N91" s="5"/>
    </row>
    <row r="92" spans="1:14" ht="32.1" customHeight="1">
      <c r="A92" s="1">
        <f>Chu_ky!H12+(Chu_ky!B12*10/10)</f>
        <v>122</v>
      </c>
      <c r="B92" s="2">
        <f>Chu_ky!D12*(Chu_ky!G12+Chu_ky!F12*(Chu_ky!B12*10/10)+0.5*Chu_ky!E12*(Chu_ky!B12*10/10)^2)</f>
        <v>0</v>
      </c>
      <c r="C92" s="2">
        <f>Chu_ky!C12*(Chu_ky!D12*Tinh_toan_x2!E14*Tinh_toan_x2!E17+F92)</f>
        <v>0</v>
      </c>
      <c r="D92" s="2">
        <f>E92*B92*2*Tinh_toan_x2!E13/Tinh_toan_x2!E12</f>
        <v>0</v>
      </c>
      <c r="E92" s="2">
        <f>C92*Tinh_toan_x2!E12/(2*Tinh_toan_x2!E15*Tinh_toan_x2!E13)+(Tinh_toan_x2!C47+Tinh_toan_x2!E52+Tinh_toan_x2!E53/Tinh_toan_x2!E13^2)*2*Tinh_toan_x2!E13/Tinh_toan_x2!E12*F92</f>
        <v>0</v>
      </c>
      <c r="F92" s="2">
        <f>Chu_ky!D12*(Chu_ky!F12+Chu_ky!E12*(Chu_ky!B12*10/10))</f>
        <v>0</v>
      </c>
      <c r="G92" s="2">
        <f>Chu_ky!D12*Chu_ky!E12</f>
        <v>0</v>
      </c>
      <c r="H92" s="2" t="str">
        <f>Chu_ky!A12</f>
        <v>Nghỉ</v>
      </c>
      <c r="I92" s="5"/>
      <c r="J92" s="5"/>
      <c r="K92" s="5"/>
      <c r="L92" s="5"/>
      <c r="M92" s="5"/>
      <c r="N92" s="5"/>
    </row>
    <row r="93" spans="1:14" ht="32.1" customHeight="1">
      <c r="A93" s="1">
        <f>Chu_ky!H13+(Chu_ky!B13*0/10)</f>
        <v>122</v>
      </c>
      <c r="B93" s="2">
        <f>Chu_ky!D13*(Chu_ky!G13+Chu_ky!F13*(Chu_ky!B13*0/10)+0.5*Chu_ky!E13*(Chu_ky!B13*0/10)^2)</f>
        <v>0</v>
      </c>
      <c r="C93" s="2">
        <f>Chu_ky!C13*(Chu_ky!D13*Tinh_toan_x2!E14*Tinh_toan_x2!E17+F93)</f>
        <v>-435.56400000000002</v>
      </c>
      <c r="D93" s="2">
        <f>E93*B93*2*Tinh_toan_x2!E13/Tinh_toan_x2!E12</f>
        <v>0</v>
      </c>
      <c r="E93" s="2">
        <f>C93*Tinh_toan_x2!E12/(2*Tinh_toan_x2!E15*Tinh_toan_x2!E13)+(Tinh_toan_x2!C47+Tinh_toan_x2!E52+Tinh_toan_x2!E53/Tinh_toan_x2!E13^2)*2*Tinh_toan_x2!E13/Tinh_toan_x2!E12*F93</f>
        <v>-0.56714062500000006</v>
      </c>
      <c r="F93" s="2">
        <f>Chu_ky!D13*(Chu_ky!F13+Chu_ky!E13*(Chu_ky!B13*0/10))</f>
        <v>0</v>
      </c>
      <c r="G93" s="2">
        <f>Chu_ky!D13*Chu_ky!E13</f>
        <v>-0.2742857142857143</v>
      </c>
      <c r="H93" s="2" t="str">
        <f>Chu_ky!A13</f>
        <v>Không tải tăng j+</v>
      </c>
      <c r="I93" s="5"/>
      <c r="J93" s="5"/>
      <c r="K93" s="5"/>
      <c r="L93" s="5"/>
      <c r="M93" s="5"/>
      <c r="N93" s="5"/>
    </row>
    <row r="94" spans="1:14" ht="32.1" customHeight="1">
      <c r="A94" s="1">
        <f>Chu_ky!H13+(Chu_ky!B13*1/10)</f>
        <v>122.02500000000001</v>
      </c>
      <c r="B94" s="2">
        <f>Chu_ky!D13*(Chu_ky!G13+Chu_ky!F13*(Chu_ky!B13*1/10)+0.5*Chu_ky!E13*(Chu_ky!B13*1/10)^2)</f>
        <v>-8.571428571428574E-5</v>
      </c>
      <c r="C94" s="2">
        <f>Chu_ky!C13*(Chu_ky!D13*Tinh_toan_x2!E14*Tinh_toan_x2!E17+F94)</f>
        <v>-437.08628571428574</v>
      </c>
      <c r="D94" s="2">
        <f>E94*B94*2*Tinh_toan_x2!E13/Tinh_toan_x2!E12</f>
        <v>5.3695928571428596E-2</v>
      </c>
      <c r="E94" s="2">
        <f>C94*Tinh_toan_x2!E12/(2*Tinh_toan_x2!E15*Tinh_toan_x2!E13)+(Tinh_toan_x2!C47+Tinh_toan_x2!E52+Tinh_toan_x2!E53/Tinh_toan_x2!E13^2)*2*Tinh_toan_x2!E13/Tinh_toan_x2!E12*F94</f>
        <v>-0.7830656250000001</v>
      </c>
      <c r="F94" s="2">
        <f>Chu_ky!D13*(Chu_ky!F13+Chu_ky!E13*(Chu_ky!B13*1/10))</f>
        <v>-6.8571428571428577E-3</v>
      </c>
      <c r="G94" s="2">
        <f>Chu_ky!D13*Chu_ky!E13</f>
        <v>-0.2742857142857143</v>
      </c>
      <c r="H94" s="2" t="str">
        <f>Chu_ky!A13</f>
        <v>Không tải tăng j+</v>
      </c>
      <c r="I94" s="5"/>
      <c r="J94" s="5"/>
      <c r="K94" s="5"/>
      <c r="L94" s="5"/>
      <c r="M94" s="5"/>
      <c r="N94" s="5"/>
    </row>
    <row r="95" spans="1:14" ht="32.1" customHeight="1">
      <c r="A95" s="1">
        <f>Chu_ky!H13+(Chu_ky!B13*2/10)</f>
        <v>122.05</v>
      </c>
      <c r="B95" s="2">
        <f>Chu_ky!D13*(Chu_ky!G13+Chu_ky!F13*(Chu_ky!B13*2/10)+0.5*Chu_ky!E13*(Chu_ky!B13*2/10)^2)</f>
        <v>-3.4285714285714296E-4</v>
      </c>
      <c r="C95" s="2">
        <f>Chu_ky!C13*(Chu_ky!D13*Tinh_toan_x2!E14*Tinh_toan_x2!E17+F95)</f>
        <v>-438.60857142857151</v>
      </c>
      <c r="D95" s="2">
        <f>E95*B95*2*Tinh_toan_x2!E13/Tinh_toan_x2!E12</f>
        <v>0.27400885714285728</v>
      </c>
      <c r="E95" s="2">
        <f>C95*Tinh_toan_x2!E12/(2*Tinh_toan_x2!E15*Tinh_toan_x2!E13)+(Tinh_toan_x2!C47+Tinh_toan_x2!E52+Tinh_toan_x2!E53/Tinh_toan_x2!E13^2)*2*Tinh_toan_x2!E13/Tinh_toan_x2!E12*F95</f>
        <v>-0.99899062500000013</v>
      </c>
      <c r="F95" s="2">
        <f>Chu_ky!D13*(Chu_ky!F13+Chu_ky!E13*(Chu_ky!B13*2/10))</f>
        <v>-1.3714285714285715E-2</v>
      </c>
      <c r="G95" s="2">
        <f>Chu_ky!D13*Chu_ky!E13</f>
        <v>-0.2742857142857143</v>
      </c>
      <c r="H95" s="2" t="str">
        <f>Chu_ky!A13</f>
        <v>Không tải tăng j+</v>
      </c>
      <c r="I95" s="5"/>
      <c r="J95" s="5"/>
      <c r="K95" s="5"/>
      <c r="L95" s="5"/>
      <c r="M95" s="5"/>
      <c r="N95" s="5"/>
    </row>
    <row r="96" spans="1:14" ht="32.1" customHeight="1">
      <c r="A96" s="1">
        <f>Chu_ky!H13+(Chu_ky!B13*3/10)</f>
        <v>122.075</v>
      </c>
      <c r="B96" s="1">
        <f>Chu_ky!D13*(Chu_ky!G13+Chu_ky!F13*(Chu_ky!B13*3/10)+0.5*Chu_ky!E13*(Chu_ky!B13*3/10)^2)</f>
        <v>-7.7142857142857145E-4</v>
      </c>
      <c r="C96" s="1">
        <f>Chu_ky!C13*(Chu_ky!D13*Tinh_toan_x2!E14*Tinh_toan_x2!E17+F96)</f>
        <v>-440.13085714285717</v>
      </c>
      <c r="D96" s="1">
        <f>E96*B96*2*Tinh_toan_x2!E13/Tinh_toan_x2!E12</f>
        <v>0.74977650000000007</v>
      </c>
      <c r="E96" s="1">
        <f>C96*Tinh_toan_x2!E12/(2*Tinh_toan_x2!E15*Tinh_toan_x2!E13)+(Tinh_toan_x2!C47+Tinh_toan_x2!E52+Tinh_toan_x2!E53/Tinh_toan_x2!E13^2)*2*Tinh_toan_x2!E13/Tinh_toan_x2!E12*F96</f>
        <v>-1.2149156250000002</v>
      </c>
      <c r="F96" s="1">
        <f>Chu_ky!D13*(Chu_ky!F13+Chu_ky!E13*(Chu_ky!B13*3/10))</f>
        <v>-2.057142857142857E-2</v>
      </c>
      <c r="G96" s="1">
        <f>Chu_ky!D13*Chu_ky!E13</f>
        <v>-0.2742857142857143</v>
      </c>
      <c r="H96" s="1" t="str">
        <f>Chu_ky!A13</f>
        <v>Không tải tăng j+</v>
      </c>
    </row>
    <row r="97" spans="1:8" ht="32.1" customHeight="1">
      <c r="A97" s="1">
        <f>Chu_ky!H13+(Chu_ky!B13*4/10)</f>
        <v>122.1</v>
      </c>
      <c r="B97" s="1">
        <f>Chu_ky!D13*(Chu_ky!G13+Chu_ky!F13*(Chu_ky!B13*4/10)+0.5*Chu_ky!E13*(Chu_ky!B13*4/10)^2)</f>
        <v>-1.3714285714285718E-3</v>
      </c>
      <c r="C97" s="1">
        <f>Chu_ky!C13*(Chu_ky!D13*Tinh_toan_x2!E14*Tinh_toan_x2!E17+F97)</f>
        <v>-441.65314285714288</v>
      </c>
      <c r="D97" s="1">
        <f>E97*B97*2*Tinh_toan_x2!E13/Tinh_toan_x2!E12</f>
        <v>1.569836571428572</v>
      </c>
      <c r="E97" s="1">
        <f>C97*Tinh_toan_x2!E12/(2*Tinh_toan_x2!E15*Tinh_toan_x2!E13)+(Tinh_toan_x2!C47+Tinh_toan_x2!E52+Tinh_toan_x2!E53/Tinh_toan_x2!E13^2)*2*Tinh_toan_x2!E13/Tinh_toan_x2!E12*F97</f>
        <v>-1.4308406250000001</v>
      </c>
      <c r="F97" s="1">
        <f>Chu_ky!D13*(Chu_ky!F13+Chu_ky!E13*(Chu_ky!B13*4/10))</f>
        <v>-2.7428571428571431E-2</v>
      </c>
      <c r="G97" s="1">
        <f>Chu_ky!D13*Chu_ky!E13</f>
        <v>-0.2742857142857143</v>
      </c>
      <c r="H97" s="1" t="str">
        <f>Chu_ky!A13</f>
        <v>Không tải tăng j+</v>
      </c>
    </row>
    <row r="98" spans="1:8" ht="32.1" customHeight="1">
      <c r="A98" s="1">
        <f>Chu_ky!H13+(Chu_ky!B13*5/10)</f>
        <v>122.125</v>
      </c>
      <c r="B98" s="1">
        <f>Chu_ky!D13*(Chu_ky!G13+Chu_ky!F13*(Chu_ky!B13*5/10)+0.5*Chu_ky!E13*(Chu_ky!B13*5/10)^2)</f>
        <v>-2.142857142857143E-3</v>
      </c>
      <c r="C98" s="1">
        <f>Chu_ky!C13*(Chu_ky!D13*Tinh_toan_x2!E14*Tinh_toan_x2!E17+F98)</f>
        <v>-443.1754285714286</v>
      </c>
      <c r="D98" s="1">
        <f>E98*B98*2*Tinh_toan_x2!E13/Tinh_toan_x2!E12</f>
        <v>2.8230267857142861</v>
      </c>
      <c r="E98" s="1">
        <f>C98*Tinh_toan_x2!E12/(2*Tinh_toan_x2!E15*Tinh_toan_x2!E13)+(Tinh_toan_x2!C47+Tinh_toan_x2!E52+Tinh_toan_x2!E53/Tinh_toan_x2!E13^2)*2*Tinh_toan_x2!E13/Tinh_toan_x2!E12*F98</f>
        <v>-1.646765625</v>
      </c>
      <c r="F98" s="1">
        <f>Chu_ky!D13*(Chu_ky!F13+Chu_ky!E13*(Chu_ky!B13*5/10))</f>
        <v>-3.4285714285714287E-2</v>
      </c>
      <c r="G98" s="1">
        <f>Chu_ky!D13*Chu_ky!E13</f>
        <v>-0.2742857142857143</v>
      </c>
      <c r="H98" s="1" t="str">
        <f>Chu_ky!A13</f>
        <v>Không tải tăng j+</v>
      </c>
    </row>
    <row r="99" spans="1:8" ht="32.1" customHeight="1">
      <c r="A99" s="1">
        <f>Chu_ky!H13+(Chu_ky!B13*6/10)</f>
        <v>122.15</v>
      </c>
      <c r="B99" s="1">
        <f>Chu_ky!D13*(Chu_ky!G13+Chu_ky!F13*(Chu_ky!B13*6/10)+0.5*Chu_ky!E13*(Chu_ky!B13*6/10)^2)</f>
        <v>-3.0857142857142858E-3</v>
      </c>
      <c r="C99" s="1">
        <f>Chu_ky!C13*(Chu_ky!D13*Tinh_toan_x2!E14*Tinh_toan_x2!E17+F99)</f>
        <v>-444.69771428571426</v>
      </c>
      <c r="D99" s="1">
        <f>E99*B99*2*Tinh_toan_x2!E13/Tinh_toan_x2!E12</f>
        <v>4.598184857142857</v>
      </c>
      <c r="E99" s="1">
        <f>C99*Tinh_toan_x2!E12/(2*Tinh_toan_x2!E15*Tinh_toan_x2!E13)+(Tinh_toan_x2!C47+Tinh_toan_x2!E52+Tinh_toan_x2!E53/Tinh_toan_x2!E13^2)*2*Tinh_toan_x2!E13/Tinh_toan_x2!E12*F99</f>
        <v>-1.8626906249999999</v>
      </c>
      <c r="F99" s="1">
        <f>Chu_ky!D13*(Chu_ky!F13+Chu_ky!E13*(Chu_ky!B13*6/10))</f>
        <v>-4.1142857142857141E-2</v>
      </c>
      <c r="G99" s="1">
        <f>Chu_ky!D13*Chu_ky!E13</f>
        <v>-0.2742857142857143</v>
      </c>
      <c r="H99" s="1" t="str">
        <f>Chu_ky!A13</f>
        <v>Không tải tăng j+</v>
      </c>
    </row>
    <row r="100" spans="1:8" ht="32.1" customHeight="1">
      <c r="A100" s="1">
        <f>Chu_ky!H13+(Chu_ky!B13*7/10)</f>
        <v>122.175</v>
      </c>
      <c r="B100" s="1">
        <f>Chu_ky!D13*(Chu_ky!G13+Chu_ky!F13*(Chu_ky!B13*7/10)+0.5*Chu_ky!E13*(Chu_ky!B13*7/10)^2)</f>
        <v>-4.1999999999999997E-3</v>
      </c>
      <c r="C100" s="1">
        <f>Chu_ky!C13*(Chu_ky!D13*Tinh_toan_x2!E14*Tinh_toan_x2!E17+F100)</f>
        <v>-446.22</v>
      </c>
      <c r="D100" s="1">
        <f>E100*B100*2*Tinh_toan_x2!E13/Tinh_toan_x2!E12</f>
        <v>6.9841485000000008</v>
      </c>
      <c r="E100" s="1">
        <f>C100*Tinh_toan_x2!E12/(2*Tinh_toan_x2!E15*Tinh_toan_x2!E13)+(Tinh_toan_x2!C47+Tinh_toan_x2!E52+Tinh_toan_x2!E53/Tinh_toan_x2!E13^2)*2*Tinh_toan_x2!E13/Tinh_toan_x2!E12*F100</f>
        <v>-2.0786156250000003</v>
      </c>
      <c r="F100" s="1">
        <f>Chu_ky!D13*(Chu_ky!F13+Chu_ky!E13*(Chu_ky!B13*7/10))</f>
        <v>-4.8000000000000001E-2</v>
      </c>
      <c r="G100" s="1">
        <f>Chu_ky!D13*Chu_ky!E13</f>
        <v>-0.2742857142857143</v>
      </c>
      <c r="H100" s="1" t="str">
        <f>Chu_ky!A13</f>
        <v>Không tải tăng j+</v>
      </c>
    </row>
    <row r="101" spans="1:8" ht="32.1" customHeight="1">
      <c r="A101" s="1">
        <f>Chu_ky!H13+(Chu_ky!B13*8/10)</f>
        <v>122.2</v>
      </c>
      <c r="B101" s="1">
        <f>Chu_ky!D13*(Chu_ky!G13+Chu_ky!F13*(Chu_ky!B13*8/10)+0.5*Chu_ky!E13*(Chu_ky!B13*8/10)^2)</f>
        <v>-5.4857142857142873E-3</v>
      </c>
      <c r="C101" s="1">
        <f>Chu_ky!C13*(Chu_ky!D13*Tinh_toan_x2!E14*Tinh_toan_x2!E17+F101)</f>
        <v>-447.74228571428574</v>
      </c>
      <c r="D101" s="1">
        <f>E101*B101*2*Tinh_toan_x2!E13/Tinh_toan_x2!E12</f>
        <v>10.069755428571431</v>
      </c>
      <c r="E101" s="1">
        <f>C101*Tinh_toan_x2!E12/(2*Tinh_toan_x2!E15*Tinh_toan_x2!E13)+(Tinh_toan_x2!C47+Tinh_toan_x2!E52+Tinh_toan_x2!E53/Tinh_toan_x2!E13^2)*2*Tinh_toan_x2!E13/Tinh_toan_x2!E12*F101</f>
        <v>-2.2945406250000002</v>
      </c>
      <c r="F101" s="1">
        <f>Chu_ky!D13*(Chu_ky!F13+Chu_ky!E13*(Chu_ky!B13*8/10))</f>
        <v>-5.4857142857142861E-2</v>
      </c>
      <c r="G101" s="1">
        <f>Chu_ky!D13*Chu_ky!E13</f>
        <v>-0.2742857142857143</v>
      </c>
      <c r="H101" s="1" t="str">
        <f>Chu_ky!A13</f>
        <v>Không tải tăng j+</v>
      </c>
    </row>
    <row r="102" spans="1:8" ht="32.1" customHeight="1">
      <c r="A102" s="1">
        <f>Chu_ky!H13+(Chu_ky!B13*9/10)</f>
        <v>122.22499999999999</v>
      </c>
      <c r="B102" s="1">
        <f>Chu_ky!D13*(Chu_ky!G13+Chu_ky!F13*(Chu_ky!B13*9/10)+0.5*Chu_ky!E13*(Chu_ky!B13*9/10)^2)</f>
        <v>-6.9428571428571438E-3</v>
      </c>
      <c r="C102" s="1">
        <f>Chu_ky!C13*(Chu_ky!D13*Tinh_toan_x2!E14*Tinh_toan_x2!E17+F102)</f>
        <v>-449.26457142857151</v>
      </c>
      <c r="D102" s="1">
        <f>E102*B102*2*Tinh_toan_x2!E13/Tinh_toan_x2!E12</f>
        <v>13.94384335714286</v>
      </c>
      <c r="E102" s="1">
        <f>C102*Tinh_toan_x2!E12/(2*Tinh_toan_x2!E15*Tinh_toan_x2!E13)+(Tinh_toan_x2!C47+Tinh_toan_x2!E52+Tinh_toan_x2!E53/Tinh_toan_x2!E13^2)*2*Tinh_toan_x2!E13/Tinh_toan_x2!E12*F102</f>
        <v>-2.5104656250000001</v>
      </c>
      <c r="F102" s="1">
        <f>Chu_ky!D13*(Chu_ky!F13+Chu_ky!E13*(Chu_ky!B13*9/10))</f>
        <v>-6.1714285714285722E-2</v>
      </c>
      <c r="G102" s="1">
        <f>Chu_ky!D13*Chu_ky!E13</f>
        <v>-0.2742857142857143</v>
      </c>
      <c r="H102" s="1" t="str">
        <f>Chu_ky!A13</f>
        <v>Không tải tăng j+</v>
      </c>
    </row>
    <row r="103" spans="1:8" ht="32.1" customHeight="1">
      <c r="A103" s="1">
        <f>Chu_ky!H13+(Chu_ky!B13*10/10)</f>
        <v>122.25</v>
      </c>
      <c r="B103" s="1">
        <f>Chu_ky!D13*(Chu_ky!G13+Chu_ky!F13*(Chu_ky!B13*10/10)+0.5*Chu_ky!E13*(Chu_ky!B13*10/10)^2)</f>
        <v>-8.5714285714285719E-3</v>
      </c>
      <c r="C103" s="1">
        <f>Chu_ky!C13*(Chu_ky!D13*Tinh_toan_x2!E14*Tinh_toan_x2!E17+F103)</f>
        <v>-450.78685714285717</v>
      </c>
      <c r="D103" s="1">
        <f>E103*B103*2*Tinh_toan_x2!E13/Tinh_toan_x2!E12</f>
        <v>18.695250000000005</v>
      </c>
      <c r="E103" s="1">
        <f>C103*Tinh_toan_x2!E12/(2*Tinh_toan_x2!E15*Tinh_toan_x2!E13)+(Tinh_toan_x2!C47+Tinh_toan_x2!E52+Tinh_toan_x2!E53/Tinh_toan_x2!E13^2)*2*Tinh_toan_x2!E13/Tinh_toan_x2!E12*F103</f>
        <v>-2.7263906250000005</v>
      </c>
      <c r="F103" s="1">
        <f>Chu_ky!D13*(Chu_ky!F13+Chu_ky!E13*(Chu_ky!B13*10/10))</f>
        <v>-6.8571428571428575E-2</v>
      </c>
      <c r="G103" s="1">
        <f>Chu_ky!D13*Chu_ky!E13</f>
        <v>-0.2742857142857143</v>
      </c>
      <c r="H103" s="1" t="str">
        <f>Chu_ky!A13</f>
        <v>Không tải tăng j+</v>
      </c>
    </row>
    <row r="104" spans="1:8" ht="32.1" customHeight="1">
      <c r="A104" s="1">
        <f>Chu_ky!H14+(Chu_ky!B14*0/10)</f>
        <v>122.25</v>
      </c>
      <c r="B104" s="1">
        <f>Chu_ky!D14*(Chu_ky!G14+Chu_ky!F14*(Chu_ky!B14*0/10)+0.5*Chu_ky!E14*(Chu_ky!B14*0/10)^2)</f>
        <v>-8.5714285714285719E-3</v>
      </c>
      <c r="C104" s="1">
        <f>Chu_ky!C14*(Chu_ky!D14*Tinh_toan_x2!E14*Tinh_toan_x2!E17+F104)</f>
        <v>-450.78685714285717</v>
      </c>
      <c r="D104" s="1">
        <f>E104*B104*2*Tinh_toan_x2!E13/Tinh_toan_x2!E12</f>
        <v>18.695250000000005</v>
      </c>
      <c r="E104" s="1">
        <f>C104*Tinh_toan_x2!E12/(2*Tinh_toan_x2!E15*Tinh_toan_x2!E13)+(Tinh_toan_x2!C47+Tinh_toan_x2!E52+Tinh_toan_x2!E53/Tinh_toan_x2!E13^2)*2*Tinh_toan_x2!E13/Tinh_toan_x2!E12*F104</f>
        <v>-2.7263906250000005</v>
      </c>
      <c r="F104" s="1">
        <f>Chu_ky!D14*(Chu_ky!F14+Chu_ky!E14*(Chu_ky!B14*0/10))</f>
        <v>-6.8571428571428575E-2</v>
      </c>
      <c r="G104" s="1">
        <f>Chu_ky!D14*Chu_ky!E14</f>
        <v>0</v>
      </c>
      <c r="H104" s="1" t="str">
        <f>Chu_ky!A14</f>
        <v>Không tải tăng a</v>
      </c>
    </row>
    <row r="105" spans="1:8" ht="32.1" customHeight="1">
      <c r="A105" s="1">
        <f>Chu_ky!H14+(Chu_ky!B14*1/10)</f>
        <v>122.4</v>
      </c>
      <c r="B105" s="1">
        <f>Chu_ky!D14*(Chu_ky!G14+Chu_ky!F14*(Chu_ky!B14*1/10)+0.5*Chu_ky!E14*(Chu_ky!B14*1/10)^2)</f>
        <v>-1.8857142857142857E-2</v>
      </c>
      <c r="C105" s="1">
        <f>Chu_ky!C14*(Chu_ky!D14*Tinh_toan_x2!E14*Tinh_toan_x2!E17+F105)</f>
        <v>-450.78685714285717</v>
      </c>
      <c r="D105" s="1">
        <f>E105*B105*2*Tinh_toan_x2!E13/Tinh_toan_x2!E12</f>
        <v>41.129550000000009</v>
      </c>
      <c r="E105" s="1">
        <f>C105*Tinh_toan_x2!E12/(2*Tinh_toan_x2!E15*Tinh_toan_x2!E13)+(Tinh_toan_x2!C47+Tinh_toan_x2!E52+Tinh_toan_x2!E53/Tinh_toan_x2!E13^2)*2*Tinh_toan_x2!E13/Tinh_toan_x2!E12*F105</f>
        <v>-2.7263906250000005</v>
      </c>
      <c r="F105" s="1">
        <f>Chu_ky!D14*(Chu_ky!F14+Chu_ky!E14*(Chu_ky!B14*1/10))</f>
        <v>-6.8571428571428575E-2</v>
      </c>
      <c r="G105" s="1">
        <f>Chu_ky!D14*Chu_ky!E14</f>
        <v>0</v>
      </c>
      <c r="H105" s="1" t="str">
        <f>Chu_ky!A14</f>
        <v>Không tải tăng a</v>
      </c>
    </row>
    <row r="106" spans="1:8" ht="32.1" customHeight="1">
      <c r="A106" s="1">
        <f>Chu_ky!H14+(Chu_ky!B14*2/10)</f>
        <v>122.55</v>
      </c>
      <c r="B106" s="1">
        <f>Chu_ky!D14*(Chu_ky!G14+Chu_ky!F14*(Chu_ky!B14*2/10)+0.5*Chu_ky!E14*(Chu_ky!B14*2/10)^2)</f>
        <v>-2.9142857142857144E-2</v>
      </c>
      <c r="C106" s="1">
        <f>Chu_ky!C14*(Chu_ky!D14*Tinh_toan_x2!E14*Tinh_toan_x2!E17+F106)</f>
        <v>-450.78685714285717</v>
      </c>
      <c r="D106" s="1">
        <f>E106*B106*2*Tinh_toan_x2!E13/Tinh_toan_x2!E12</f>
        <v>63.563850000000009</v>
      </c>
      <c r="E106" s="1">
        <f>C106*Tinh_toan_x2!E12/(2*Tinh_toan_x2!E15*Tinh_toan_x2!E13)+(Tinh_toan_x2!C47+Tinh_toan_x2!E52+Tinh_toan_x2!E53/Tinh_toan_x2!E13^2)*2*Tinh_toan_x2!E13/Tinh_toan_x2!E12*F106</f>
        <v>-2.7263906250000005</v>
      </c>
      <c r="F106" s="1">
        <f>Chu_ky!D14*(Chu_ky!F14+Chu_ky!E14*(Chu_ky!B14*2/10))</f>
        <v>-6.8571428571428575E-2</v>
      </c>
      <c r="G106" s="1">
        <f>Chu_ky!D14*Chu_ky!E14</f>
        <v>0</v>
      </c>
      <c r="H106" s="1" t="str">
        <f>Chu_ky!A14</f>
        <v>Không tải tăng a</v>
      </c>
    </row>
    <row r="107" spans="1:8" ht="32.1" customHeight="1">
      <c r="A107" s="1">
        <f>Chu_ky!H14+(Chu_ky!B14*3/10)</f>
        <v>122.7</v>
      </c>
      <c r="B107" s="1">
        <f>Chu_ky!D14*(Chu_ky!G14+Chu_ky!F14*(Chu_ky!B14*3/10)+0.5*Chu_ky!E14*(Chu_ky!B14*3/10)^2)</f>
        <v>-3.9428571428571431E-2</v>
      </c>
      <c r="C107" s="1">
        <f>Chu_ky!C14*(Chu_ky!D14*Tinh_toan_x2!E14*Tinh_toan_x2!E17+F107)</f>
        <v>-450.78685714285717</v>
      </c>
      <c r="D107" s="1">
        <f>E107*B107*2*Tinh_toan_x2!E13/Tinh_toan_x2!E12</f>
        <v>85.998150000000024</v>
      </c>
      <c r="E107" s="1">
        <f>C107*Tinh_toan_x2!E12/(2*Tinh_toan_x2!E15*Tinh_toan_x2!E13)+(Tinh_toan_x2!C47+Tinh_toan_x2!E52+Tinh_toan_x2!E53/Tinh_toan_x2!E13^2)*2*Tinh_toan_x2!E13/Tinh_toan_x2!E12*F107</f>
        <v>-2.7263906250000005</v>
      </c>
      <c r="F107" s="1">
        <f>Chu_ky!D14*(Chu_ky!F14+Chu_ky!E14*(Chu_ky!B14*3/10))</f>
        <v>-6.8571428571428575E-2</v>
      </c>
      <c r="G107" s="1">
        <f>Chu_ky!D14*Chu_ky!E14</f>
        <v>0</v>
      </c>
      <c r="H107" s="1" t="str">
        <f>Chu_ky!A14</f>
        <v>Không tải tăng a</v>
      </c>
    </row>
    <row r="108" spans="1:8" ht="32.1" customHeight="1">
      <c r="A108" s="1">
        <f>Chu_ky!H14+(Chu_ky!B14*4/10)</f>
        <v>122.85</v>
      </c>
      <c r="B108" s="1">
        <f>Chu_ky!D14*(Chu_ky!G14+Chu_ky!F14*(Chu_ky!B14*4/10)+0.5*Chu_ky!E14*(Chu_ky!B14*4/10)^2)</f>
        <v>-4.9714285714285711E-2</v>
      </c>
      <c r="C108" s="1">
        <f>Chu_ky!C14*(Chu_ky!D14*Tinh_toan_x2!E14*Tinh_toan_x2!E17+F108)</f>
        <v>-450.78685714285717</v>
      </c>
      <c r="D108" s="1">
        <f>E108*B108*2*Tinh_toan_x2!E13/Tinh_toan_x2!E12</f>
        <v>108.43245000000002</v>
      </c>
      <c r="E108" s="1">
        <f>C108*Tinh_toan_x2!E12/(2*Tinh_toan_x2!E15*Tinh_toan_x2!E13)+(Tinh_toan_x2!C47+Tinh_toan_x2!E52+Tinh_toan_x2!E53/Tinh_toan_x2!E13^2)*2*Tinh_toan_x2!E13/Tinh_toan_x2!E12*F108</f>
        <v>-2.7263906250000005</v>
      </c>
      <c r="F108" s="1">
        <f>Chu_ky!D14*(Chu_ky!F14+Chu_ky!E14*(Chu_ky!B14*4/10))</f>
        <v>-6.8571428571428575E-2</v>
      </c>
      <c r="G108" s="1">
        <f>Chu_ky!D14*Chu_ky!E14</f>
        <v>0</v>
      </c>
      <c r="H108" s="1" t="str">
        <f>Chu_ky!A14</f>
        <v>Không tải tăng a</v>
      </c>
    </row>
    <row r="109" spans="1:8" ht="32.1" customHeight="1">
      <c r="A109" s="1">
        <f>Chu_ky!H14+(Chu_ky!B14*5/10)</f>
        <v>123</v>
      </c>
      <c r="B109" s="1">
        <f>Chu_ky!D14*(Chu_ky!G14+Chu_ky!F14*(Chu_ky!B14*5/10)+0.5*Chu_ky!E14*(Chu_ky!B14*5/10)^2)</f>
        <v>-6.0000000000000005E-2</v>
      </c>
      <c r="C109" s="1">
        <f>Chu_ky!C14*(Chu_ky!D14*Tinh_toan_x2!E14*Tinh_toan_x2!E17+F109)</f>
        <v>-450.78685714285717</v>
      </c>
      <c r="D109" s="1">
        <f>E109*B109*2*Tinh_toan_x2!E13/Tinh_toan_x2!E12</f>
        <v>130.86675000000002</v>
      </c>
      <c r="E109" s="1">
        <f>C109*Tinh_toan_x2!E12/(2*Tinh_toan_x2!E15*Tinh_toan_x2!E13)+(Tinh_toan_x2!C47+Tinh_toan_x2!E52+Tinh_toan_x2!E53/Tinh_toan_x2!E13^2)*2*Tinh_toan_x2!E13/Tinh_toan_x2!E12*F109</f>
        <v>-2.7263906250000005</v>
      </c>
      <c r="F109" s="1">
        <f>Chu_ky!D14*(Chu_ky!F14+Chu_ky!E14*(Chu_ky!B14*5/10))</f>
        <v>-6.8571428571428575E-2</v>
      </c>
      <c r="G109" s="1">
        <f>Chu_ky!D14*Chu_ky!E14</f>
        <v>0</v>
      </c>
      <c r="H109" s="1" t="str">
        <f>Chu_ky!A14</f>
        <v>Không tải tăng a</v>
      </c>
    </row>
    <row r="110" spans="1:8" ht="32.1" customHeight="1">
      <c r="A110" s="1">
        <f>Chu_ky!H14+(Chu_ky!B14*6/10)</f>
        <v>123.15</v>
      </c>
      <c r="B110" s="1">
        <f>Chu_ky!D14*(Chu_ky!G14+Chu_ky!F14*(Chu_ky!B14*6/10)+0.5*Chu_ky!E14*(Chu_ky!B14*6/10)^2)</f>
        <v>-7.0285714285714299E-2</v>
      </c>
      <c r="C110" s="1">
        <f>Chu_ky!C14*(Chu_ky!D14*Tinh_toan_x2!E14*Tinh_toan_x2!E17+F110)</f>
        <v>-450.78685714285717</v>
      </c>
      <c r="D110" s="1">
        <f>E110*B110*2*Tinh_toan_x2!E13/Tinh_toan_x2!E12</f>
        <v>153.30105000000006</v>
      </c>
      <c r="E110" s="1">
        <f>C110*Tinh_toan_x2!E12/(2*Tinh_toan_x2!E15*Tinh_toan_x2!E13)+(Tinh_toan_x2!C47+Tinh_toan_x2!E52+Tinh_toan_x2!E53/Tinh_toan_x2!E13^2)*2*Tinh_toan_x2!E13/Tinh_toan_x2!E12*F110</f>
        <v>-2.7263906250000005</v>
      </c>
      <c r="F110" s="1">
        <f>Chu_ky!D14*(Chu_ky!F14+Chu_ky!E14*(Chu_ky!B14*6/10))</f>
        <v>-6.8571428571428575E-2</v>
      </c>
      <c r="G110" s="1">
        <f>Chu_ky!D14*Chu_ky!E14</f>
        <v>0</v>
      </c>
      <c r="H110" s="1" t="str">
        <f>Chu_ky!A14</f>
        <v>Không tải tăng a</v>
      </c>
    </row>
    <row r="111" spans="1:8" ht="32.1" customHeight="1">
      <c r="A111" s="1">
        <f>Chu_ky!H14+(Chu_ky!B14*7/10)</f>
        <v>123.3</v>
      </c>
      <c r="B111" s="1">
        <f>Chu_ky!D14*(Chu_ky!G14+Chu_ky!F14*(Chu_ky!B14*7/10)+0.5*Chu_ky!E14*(Chu_ky!B14*7/10)^2)</f>
        <v>-8.0571428571428585E-2</v>
      </c>
      <c r="C111" s="1">
        <f>Chu_ky!C14*(Chu_ky!D14*Tinh_toan_x2!E14*Tinh_toan_x2!E17+F111)</f>
        <v>-450.78685714285717</v>
      </c>
      <c r="D111" s="1">
        <f>E111*B111*2*Tinh_toan_x2!E13/Tinh_toan_x2!E12</f>
        <v>175.73535000000007</v>
      </c>
      <c r="E111" s="1">
        <f>C111*Tinh_toan_x2!E12/(2*Tinh_toan_x2!E15*Tinh_toan_x2!E13)+(Tinh_toan_x2!C47+Tinh_toan_x2!E52+Tinh_toan_x2!E53/Tinh_toan_x2!E13^2)*2*Tinh_toan_x2!E13/Tinh_toan_x2!E12*F111</f>
        <v>-2.7263906250000005</v>
      </c>
      <c r="F111" s="1">
        <f>Chu_ky!D14*(Chu_ky!F14+Chu_ky!E14*(Chu_ky!B14*7/10))</f>
        <v>-6.8571428571428575E-2</v>
      </c>
      <c r="G111" s="1">
        <f>Chu_ky!D14*Chu_ky!E14</f>
        <v>0</v>
      </c>
      <c r="H111" s="1" t="str">
        <f>Chu_ky!A14</f>
        <v>Không tải tăng a</v>
      </c>
    </row>
    <row r="112" spans="1:8" ht="32.1" customHeight="1">
      <c r="A112" s="1">
        <f>Chu_ky!H14+(Chu_ky!B14*8/10)</f>
        <v>123.45</v>
      </c>
      <c r="B112" s="1">
        <f>Chu_ky!D14*(Chu_ky!G14+Chu_ky!F14*(Chu_ky!B14*8/10)+0.5*Chu_ky!E14*(Chu_ky!B14*8/10)^2)</f>
        <v>-9.0857142857142859E-2</v>
      </c>
      <c r="C112" s="1">
        <f>Chu_ky!C14*(Chu_ky!D14*Tinh_toan_x2!E14*Tinh_toan_x2!E17+F112)</f>
        <v>-450.78685714285717</v>
      </c>
      <c r="D112" s="1">
        <f>E112*B112*2*Tinh_toan_x2!E13/Tinh_toan_x2!E12</f>
        <v>198.16965000000005</v>
      </c>
      <c r="E112" s="1">
        <f>C112*Tinh_toan_x2!E12/(2*Tinh_toan_x2!E15*Tinh_toan_x2!E13)+(Tinh_toan_x2!C47+Tinh_toan_x2!E52+Tinh_toan_x2!E53/Tinh_toan_x2!E13^2)*2*Tinh_toan_x2!E13/Tinh_toan_x2!E12*F112</f>
        <v>-2.7263906250000005</v>
      </c>
      <c r="F112" s="1">
        <f>Chu_ky!D14*(Chu_ky!F14+Chu_ky!E14*(Chu_ky!B14*8/10))</f>
        <v>-6.8571428571428575E-2</v>
      </c>
      <c r="G112" s="1">
        <f>Chu_ky!D14*Chu_ky!E14</f>
        <v>0</v>
      </c>
      <c r="H112" s="1" t="str">
        <f>Chu_ky!A14</f>
        <v>Không tải tăng a</v>
      </c>
    </row>
    <row r="113" spans="1:8" ht="32.1" customHeight="1">
      <c r="A113" s="1">
        <f>Chu_ky!H14+(Chu_ky!B14*9/10)</f>
        <v>123.6</v>
      </c>
      <c r="B113" s="1">
        <f>Chu_ky!D14*(Chu_ky!G14+Chu_ky!F14*(Chu_ky!B14*9/10)+0.5*Chu_ky!E14*(Chu_ky!B14*9/10)^2)</f>
        <v>-0.10114285714285716</v>
      </c>
      <c r="C113" s="1">
        <f>Chu_ky!C14*(Chu_ky!D14*Tinh_toan_x2!E14*Tinh_toan_x2!E17+F113)</f>
        <v>-450.78685714285717</v>
      </c>
      <c r="D113" s="1">
        <f>E113*B113*2*Tinh_toan_x2!E13/Tinh_toan_x2!E12</f>
        <v>220.60395000000005</v>
      </c>
      <c r="E113" s="1">
        <f>C113*Tinh_toan_x2!E12/(2*Tinh_toan_x2!E15*Tinh_toan_x2!E13)+(Tinh_toan_x2!C47+Tinh_toan_x2!E52+Tinh_toan_x2!E53/Tinh_toan_x2!E13^2)*2*Tinh_toan_x2!E13/Tinh_toan_x2!E12*F113</f>
        <v>-2.7263906250000005</v>
      </c>
      <c r="F113" s="1">
        <f>Chu_ky!D14*(Chu_ky!F14+Chu_ky!E14*(Chu_ky!B14*9/10))</f>
        <v>-6.8571428571428575E-2</v>
      </c>
      <c r="G113" s="1">
        <f>Chu_ky!D14*Chu_ky!E14</f>
        <v>0</v>
      </c>
      <c r="H113" s="1" t="str">
        <f>Chu_ky!A14</f>
        <v>Không tải tăng a</v>
      </c>
    </row>
    <row r="114" spans="1:8" ht="32.1" customHeight="1">
      <c r="A114" s="1">
        <f>Chu_ky!H14+(Chu_ky!B14*10/10)</f>
        <v>123.75</v>
      </c>
      <c r="B114" s="1">
        <f>Chu_ky!D14*(Chu_ky!G14+Chu_ky!F14*(Chu_ky!B14*10/10)+0.5*Chu_ky!E14*(Chu_ky!B14*10/10)^2)</f>
        <v>-0.11142857142857145</v>
      </c>
      <c r="C114" s="1">
        <f>Chu_ky!C14*(Chu_ky!D14*Tinh_toan_x2!E14*Tinh_toan_x2!E17+F114)</f>
        <v>-450.78685714285717</v>
      </c>
      <c r="D114" s="1">
        <f>E114*B114*2*Tinh_toan_x2!E13/Tinh_toan_x2!E12</f>
        <v>243.03825000000009</v>
      </c>
      <c r="E114" s="1">
        <f>C114*Tinh_toan_x2!E12/(2*Tinh_toan_x2!E15*Tinh_toan_x2!E13)+(Tinh_toan_x2!C47+Tinh_toan_x2!E52+Tinh_toan_x2!E53/Tinh_toan_x2!E13^2)*2*Tinh_toan_x2!E13/Tinh_toan_x2!E12*F114</f>
        <v>-2.7263906250000005</v>
      </c>
      <c r="F114" s="1">
        <f>Chu_ky!D14*(Chu_ky!F14+Chu_ky!E14*(Chu_ky!B14*10/10))</f>
        <v>-6.8571428571428575E-2</v>
      </c>
      <c r="G114" s="1">
        <f>Chu_ky!D14*Chu_ky!E14</f>
        <v>0</v>
      </c>
      <c r="H114" s="1" t="str">
        <f>Chu_ky!A14</f>
        <v>Không tải tăng a</v>
      </c>
    </row>
    <row r="115" spans="1:8" ht="32.1" customHeight="1">
      <c r="A115" s="1">
        <f>Chu_ky!H15+(Chu_ky!B15*0/10)</f>
        <v>123.75</v>
      </c>
      <c r="B115" s="1">
        <f>Chu_ky!D15*(Chu_ky!G15+Chu_ky!F15*(Chu_ky!B15*0/10)+0.5*Chu_ky!E15*(Chu_ky!B15*0/10)^2)</f>
        <v>-0.11142857142857145</v>
      </c>
      <c r="C115" s="1">
        <f>Chu_ky!C15*(Chu_ky!D15*Tinh_toan_x2!E14*Tinh_toan_x2!E17+F115)</f>
        <v>-450.78685714285717</v>
      </c>
      <c r="D115" s="1">
        <f>E115*B115*2*Tinh_toan_x2!E13/Tinh_toan_x2!E12</f>
        <v>243.03825000000009</v>
      </c>
      <c r="E115" s="1">
        <f>C115*Tinh_toan_x2!E12/(2*Tinh_toan_x2!E15*Tinh_toan_x2!E13)+(Tinh_toan_x2!C47+Tinh_toan_x2!E52+Tinh_toan_x2!E53/Tinh_toan_x2!E13^2)*2*Tinh_toan_x2!E13/Tinh_toan_x2!E12*F115</f>
        <v>-2.7263906250000005</v>
      </c>
      <c r="F115" s="1">
        <f>Chu_ky!D15*(Chu_ky!F15+Chu_ky!E15*(Chu_ky!B15*0/10))</f>
        <v>-6.8571428571428575E-2</v>
      </c>
      <c r="G115" s="1">
        <f>Chu_ky!D15*Chu_ky!E15</f>
        <v>0.2742857142857143</v>
      </c>
      <c r="H115" s="1" t="str">
        <f>Chu_ky!A15</f>
        <v>Không tải tăng j-</v>
      </c>
    </row>
    <row r="116" spans="1:8" ht="32.1" customHeight="1">
      <c r="A116" s="1">
        <f>Chu_ky!H15+(Chu_ky!B15*1/10)</f>
        <v>123.77500000000001</v>
      </c>
      <c r="B116" s="1">
        <f>Chu_ky!D15*(Chu_ky!G15+Chu_ky!F15*(Chu_ky!B15*1/10)+0.5*Chu_ky!E15*(Chu_ky!B15*1/10)^2)</f>
        <v>-0.11305714285714287</v>
      </c>
      <c r="C116" s="1">
        <f>Chu_ky!C15*(Chu_ky!D15*Tinh_toan_x2!E14*Tinh_toan_x2!E17+F116)</f>
        <v>-449.26457142857151</v>
      </c>
      <c r="D116" s="1">
        <f>E116*B116*2*Tinh_toan_x2!E13/Tinh_toan_x2!E12</f>
        <v>227.06085664285717</v>
      </c>
      <c r="E116" s="1">
        <f>C116*Tinh_toan_x2!E12/(2*Tinh_toan_x2!E15*Tinh_toan_x2!E13)+(Tinh_toan_x2!C47+Tinh_toan_x2!E52+Tinh_toan_x2!E53/Tinh_toan_x2!E13^2)*2*Tinh_toan_x2!E13/Tinh_toan_x2!E12*F116</f>
        <v>-2.5104656250000001</v>
      </c>
      <c r="F116" s="1">
        <f>Chu_ky!D15*(Chu_ky!F15+Chu_ky!E15*(Chu_ky!B15*1/10))</f>
        <v>-6.1714285714285715E-2</v>
      </c>
      <c r="G116" s="1">
        <f>Chu_ky!D15*Chu_ky!E15</f>
        <v>0.2742857142857143</v>
      </c>
      <c r="H116" s="1" t="str">
        <f>Chu_ky!A15</f>
        <v>Không tải tăng j-</v>
      </c>
    </row>
    <row r="117" spans="1:8" ht="32.1" customHeight="1">
      <c r="A117" s="1">
        <f>Chu_ky!H15+(Chu_ky!B15*2/10)</f>
        <v>123.8</v>
      </c>
      <c r="B117" s="1">
        <f>Chu_ky!D15*(Chu_ky!G15+Chu_ky!F15*(Chu_ky!B15*2/10)+0.5*Chu_ky!E15*(Chu_ky!B15*2/10)^2)</f>
        <v>-0.11451428571428574</v>
      </c>
      <c r="C117" s="1">
        <f>Chu_ky!C15*(Chu_ky!D15*Tinh_toan_x2!E14*Tinh_toan_x2!E17+F117)</f>
        <v>-447.74228571428574</v>
      </c>
      <c r="D117" s="1">
        <f>E117*B117*2*Tinh_toan_x2!E13/Tinh_toan_x2!E12</f>
        <v>210.20614457142864</v>
      </c>
      <c r="E117" s="1">
        <f>C117*Tinh_toan_x2!E12/(2*Tinh_toan_x2!E15*Tinh_toan_x2!E13)+(Tinh_toan_x2!C47+Tinh_toan_x2!E52+Tinh_toan_x2!E53/Tinh_toan_x2!E13^2)*2*Tinh_toan_x2!E13/Tinh_toan_x2!E12*F117</f>
        <v>-2.2945406250000002</v>
      </c>
      <c r="F117" s="1">
        <f>Chu_ky!D15*(Chu_ky!F15+Chu_ky!E15*(Chu_ky!B15*2/10))</f>
        <v>-5.4857142857142861E-2</v>
      </c>
      <c r="G117" s="1">
        <f>Chu_ky!D15*Chu_ky!E15</f>
        <v>0.2742857142857143</v>
      </c>
      <c r="H117" s="1" t="str">
        <f>Chu_ky!A15</f>
        <v>Không tải tăng j-</v>
      </c>
    </row>
    <row r="118" spans="1:8" ht="32.1" customHeight="1">
      <c r="A118" s="1">
        <f>Chu_ky!H15+(Chu_ky!B15*3/10)</f>
        <v>123.825</v>
      </c>
      <c r="B118" s="1">
        <f>Chu_ky!D15*(Chu_ky!G15+Chu_ky!F15*(Chu_ky!B15*3/10)+0.5*Chu_ky!E15*(Chu_ky!B15*3/10)^2)</f>
        <v>-0.11580000000000001</v>
      </c>
      <c r="C118" s="1">
        <f>Chu_ky!C15*(Chu_ky!D15*Tinh_toan_x2!E14*Tinh_toan_x2!E17+F118)</f>
        <v>-446.22</v>
      </c>
      <c r="D118" s="1">
        <f>E118*B118*2*Tinh_toan_x2!E13/Tinh_toan_x2!E12</f>
        <v>192.56295150000005</v>
      </c>
      <c r="E118" s="1">
        <f>C118*Tinh_toan_x2!E12/(2*Tinh_toan_x2!E15*Tinh_toan_x2!E13)+(Tinh_toan_x2!C47+Tinh_toan_x2!E52+Tinh_toan_x2!E53/Tinh_toan_x2!E13^2)*2*Tinh_toan_x2!E13/Tinh_toan_x2!E12*F118</f>
        <v>-2.0786156250000003</v>
      </c>
      <c r="F118" s="1">
        <f>Chu_ky!D15*(Chu_ky!F15+Chu_ky!E15*(Chu_ky!B15*3/10))</f>
        <v>-4.8000000000000001E-2</v>
      </c>
      <c r="G118" s="1">
        <f>Chu_ky!D15*Chu_ky!E15</f>
        <v>0.2742857142857143</v>
      </c>
      <c r="H118" s="1" t="str">
        <f>Chu_ky!A15</f>
        <v>Không tải tăng j-</v>
      </c>
    </row>
    <row r="119" spans="1:8" ht="32.1" customHeight="1">
      <c r="A119" s="1">
        <f>Chu_ky!H15+(Chu_ky!B15*4/10)</f>
        <v>123.85</v>
      </c>
      <c r="B119" s="1">
        <f>Chu_ky!D15*(Chu_ky!G15+Chu_ky!F15*(Chu_ky!B15*4/10)+0.5*Chu_ky!E15*(Chu_ky!B15*4/10)^2)</f>
        <v>-0.11691428571428573</v>
      </c>
      <c r="C119" s="1">
        <f>Chu_ky!C15*(Chu_ky!D15*Tinh_toan_x2!E14*Tinh_toan_x2!E17+F119)</f>
        <v>-444.69771428571437</v>
      </c>
      <c r="D119" s="1">
        <f>E119*B119*2*Tinh_toan_x2!E13/Tinh_toan_x2!E12</f>
        <v>174.2201151428572</v>
      </c>
      <c r="E119" s="1">
        <f>C119*Tinh_toan_x2!E12/(2*Tinh_toan_x2!E15*Tinh_toan_x2!E13)+(Tinh_toan_x2!C47+Tinh_toan_x2!E52+Tinh_toan_x2!E53/Tinh_toan_x2!E13^2)*2*Tinh_toan_x2!E13/Tinh_toan_x2!E12*F119</f>
        <v>-1.8626906250000004</v>
      </c>
      <c r="F119" s="1">
        <f>Chu_ky!D15*(Chu_ky!F15+Chu_ky!E15*(Chu_ky!B15*4/10))</f>
        <v>-4.1142857142857148E-2</v>
      </c>
      <c r="G119" s="1">
        <f>Chu_ky!D15*Chu_ky!E15</f>
        <v>0.2742857142857143</v>
      </c>
      <c r="H119" s="1" t="str">
        <f>Chu_ky!A15</f>
        <v>Không tải tăng j-</v>
      </c>
    </row>
    <row r="120" spans="1:8" ht="32.1" customHeight="1">
      <c r="A120" s="1">
        <f>Chu_ky!H15+(Chu_ky!B15*5/10)</f>
        <v>123.875</v>
      </c>
      <c r="B120" s="1">
        <f>Chu_ky!D15*(Chu_ky!G15+Chu_ky!F15*(Chu_ky!B15*5/10)+0.5*Chu_ky!E15*(Chu_ky!B15*5/10)^2)</f>
        <v>-0.11785714285714288</v>
      </c>
      <c r="C120" s="1">
        <f>Chu_ky!C15*(Chu_ky!D15*Tinh_toan_x2!E14*Tinh_toan_x2!E17+F120)</f>
        <v>-443.1754285714286</v>
      </c>
      <c r="D120" s="1">
        <f>E120*B120*2*Tinh_toan_x2!E13/Tinh_toan_x2!E12</f>
        <v>155.26647321428575</v>
      </c>
      <c r="E120" s="1">
        <f>C120*Tinh_toan_x2!E12/(2*Tinh_toan_x2!E15*Tinh_toan_x2!E13)+(Tinh_toan_x2!C47+Tinh_toan_x2!E52+Tinh_toan_x2!E53/Tinh_toan_x2!E13^2)*2*Tinh_toan_x2!E13/Tinh_toan_x2!E12*F120</f>
        <v>-1.646765625</v>
      </c>
      <c r="F120" s="1">
        <f>Chu_ky!D15*(Chu_ky!F15+Chu_ky!E15*(Chu_ky!B15*5/10))</f>
        <v>-3.4285714285714287E-2</v>
      </c>
      <c r="G120" s="1">
        <f>Chu_ky!D15*Chu_ky!E15</f>
        <v>0.2742857142857143</v>
      </c>
      <c r="H120" s="1" t="str">
        <f>Chu_ky!A15</f>
        <v>Không tải tăng j-</v>
      </c>
    </row>
    <row r="121" spans="1:8" ht="32.1" customHeight="1">
      <c r="A121" s="1">
        <f>Chu_ky!H15+(Chu_ky!B15*6/10)</f>
        <v>123.9</v>
      </c>
      <c r="B121" s="1">
        <f>Chu_ky!D15*(Chu_ky!G15+Chu_ky!F15*(Chu_ky!B15*6/10)+0.5*Chu_ky!E15*(Chu_ky!B15*6/10)^2)</f>
        <v>-0.11862857142857144</v>
      </c>
      <c r="C121" s="1">
        <f>Chu_ky!C15*(Chu_ky!D15*Tinh_toan_x2!E14*Tinh_toan_x2!E17+F121)</f>
        <v>-441.65314285714288</v>
      </c>
      <c r="D121" s="1">
        <f>E121*B121*2*Tinh_toan_x2!E13/Tinh_toan_x2!E12</f>
        <v>135.79086342857144</v>
      </c>
      <c r="E121" s="1">
        <f>C121*Tinh_toan_x2!E12/(2*Tinh_toan_x2!E15*Tinh_toan_x2!E13)+(Tinh_toan_x2!C47+Tinh_toan_x2!E52+Tinh_toan_x2!E53/Tinh_toan_x2!E13^2)*2*Tinh_toan_x2!E13/Tinh_toan_x2!E12*F121</f>
        <v>-1.4308406250000001</v>
      </c>
      <c r="F121" s="1">
        <f>Chu_ky!D15*(Chu_ky!F15+Chu_ky!E15*(Chu_ky!B15*6/10))</f>
        <v>-2.7428571428571434E-2</v>
      </c>
      <c r="G121" s="1">
        <f>Chu_ky!D15*Chu_ky!E15</f>
        <v>0.2742857142857143</v>
      </c>
      <c r="H121" s="1" t="str">
        <f>Chu_ky!A15</f>
        <v>Không tải tăng j-</v>
      </c>
    </row>
    <row r="122" spans="1:8" ht="32.1" customHeight="1">
      <c r="A122" s="1">
        <f>Chu_ky!H15+(Chu_ky!B15*7/10)</f>
        <v>123.925</v>
      </c>
      <c r="B122" s="1">
        <f>Chu_ky!D15*(Chu_ky!G15+Chu_ky!F15*(Chu_ky!B15*7/10)+0.5*Chu_ky!E15*(Chu_ky!B15*7/10)^2)</f>
        <v>-0.11922857142857145</v>
      </c>
      <c r="C122" s="1">
        <f>Chu_ky!C15*(Chu_ky!D15*Tinh_toan_x2!E14*Tinh_toan_x2!E17+F122)</f>
        <v>-440.13085714285717</v>
      </c>
      <c r="D122" s="1">
        <f>E122*B122*2*Tinh_toan_x2!E13/Tinh_toan_x2!E12</f>
        <v>115.88212350000005</v>
      </c>
      <c r="E122" s="1">
        <f>C122*Tinh_toan_x2!E12/(2*Tinh_toan_x2!E15*Tinh_toan_x2!E13)+(Tinh_toan_x2!C47+Tinh_toan_x2!E52+Tinh_toan_x2!E53/Tinh_toan_x2!E13^2)*2*Tinh_toan_x2!E13/Tinh_toan_x2!E12*F122</f>
        <v>-1.2149156250000002</v>
      </c>
      <c r="F122" s="1">
        <f>Chu_ky!D15*(Chu_ky!F15+Chu_ky!E15*(Chu_ky!B15*7/10))</f>
        <v>-2.0571428571428574E-2</v>
      </c>
      <c r="G122" s="1">
        <f>Chu_ky!D15*Chu_ky!E15</f>
        <v>0.2742857142857143</v>
      </c>
      <c r="H122" s="1" t="str">
        <f>Chu_ky!A15</f>
        <v>Không tải tăng j-</v>
      </c>
    </row>
    <row r="123" spans="1:8" ht="32.1" customHeight="1">
      <c r="A123" s="1">
        <f>Chu_ky!H15+(Chu_ky!B15*8/10)</f>
        <v>123.95</v>
      </c>
      <c r="B123" s="1">
        <f>Chu_ky!D15*(Chu_ky!G15+Chu_ky!F15*(Chu_ky!B15*8/10)+0.5*Chu_ky!E15*(Chu_ky!B15*8/10)^2)</f>
        <v>-0.11965714285714288</v>
      </c>
      <c r="C123" s="1">
        <f>Chu_ky!C15*(Chu_ky!D15*Tinh_toan_x2!E14*Tinh_toan_x2!E17+F123)</f>
        <v>-438.60857142857151</v>
      </c>
      <c r="D123" s="1">
        <f>E123*B123*2*Tinh_toan_x2!E13/Tinh_toan_x2!E12</f>
        <v>95.629091142857163</v>
      </c>
      <c r="E123" s="1">
        <f>C123*Tinh_toan_x2!E12/(2*Tinh_toan_x2!E15*Tinh_toan_x2!E13)+(Tinh_toan_x2!C47+Tinh_toan_x2!E52+Tinh_toan_x2!E53/Tinh_toan_x2!E13^2)*2*Tinh_toan_x2!E13/Tinh_toan_x2!E12*F123</f>
        <v>-0.99899062500000002</v>
      </c>
      <c r="F123" s="1">
        <f>Chu_ky!D15*(Chu_ky!F15+Chu_ky!E15*(Chu_ky!B15*8/10))</f>
        <v>-1.3714285714285714E-2</v>
      </c>
      <c r="G123" s="1">
        <f>Chu_ky!D15*Chu_ky!E15</f>
        <v>0.2742857142857143</v>
      </c>
      <c r="H123" s="1" t="str">
        <f>Chu_ky!A15</f>
        <v>Không tải tăng j-</v>
      </c>
    </row>
    <row r="124" spans="1:8" ht="32.1" customHeight="1">
      <c r="A124" s="1">
        <f>Chu_ky!H15+(Chu_ky!B15*9/10)</f>
        <v>123.97499999999999</v>
      </c>
      <c r="B124" s="1">
        <f>Chu_ky!D15*(Chu_ky!G15+Chu_ky!F15*(Chu_ky!B15*9/10)+0.5*Chu_ky!E15*(Chu_ky!B15*9/10)^2)</f>
        <v>-0.11991428571428575</v>
      </c>
      <c r="C124" s="1">
        <f>Chu_ky!C15*(Chu_ky!D15*Tinh_toan_x2!E14*Tinh_toan_x2!E17+F124)</f>
        <v>-437.08628571428574</v>
      </c>
      <c r="D124" s="1">
        <f>E124*B124*2*Tinh_toan_x2!E13/Tinh_toan_x2!E12</f>
        <v>75.120604071428588</v>
      </c>
      <c r="E124" s="1">
        <f>C124*Tinh_toan_x2!E12/(2*Tinh_toan_x2!E15*Tinh_toan_x2!E13)+(Tinh_toan_x2!C47+Tinh_toan_x2!E52+Tinh_toan_x2!E53/Tinh_toan_x2!E13^2)*2*Tinh_toan_x2!E13/Tinh_toan_x2!E12*F124</f>
        <v>-0.78306562499999988</v>
      </c>
      <c r="F124" s="1">
        <f>Chu_ky!D15*(Chu_ky!F15+Chu_ky!E15*(Chu_ky!B15*9/10))</f>
        <v>-6.8571428571428533E-3</v>
      </c>
      <c r="G124" s="1">
        <f>Chu_ky!D15*Chu_ky!E15</f>
        <v>0.2742857142857143</v>
      </c>
      <c r="H124" s="1" t="str">
        <f>Chu_ky!A15</f>
        <v>Không tải tăng j-</v>
      </c>
    </row>
    <row r="125" spans="1:8" ht="32.1" customHeight="1">
      <c r="A125" s="1">
        <f>Chu_ky!H15+(Chu_ky!B15*10/10)</f>
        <v>124</v>
      </c>
      <c r="B125" s="1">
        <f>Chu_ky!D15*(Chu_ky!G15+Chu_ky!F15*(Chu_ky!B15*10/10)+0.5*Chu_ky!E15*(Chu_ky!B15*10/10)^2)</f>
        <v>-0.12000000000000001</v>
      </c>
      <c r="C125" s="1">
        <f>Chu_ky!C15*(Chu_ky!D15*Tinh_toan_x2!E14*Tinh_toan_x2!E17+F125)</f>
        <v>-435.56400000000002</v>
      </c>
      <c r="D125" s="1">
        <f>E125*B125*2*Tinh_toan_x2!E13/Tinh_toan_x2!E12</f>
        <v>54.44550000000001</v>
      </c>
      <c r="E125" s="1">
        <f>C125*Tinh_toan_x2!E12/(2*Tinh_toan_x2!E15*Tinh_toan_x2!E13)+(Tinh_toan_x2!C47+Tinh_toan_x2!E52+Tinh_toan_x2!E53/Tinh_toan_x2!E13^2)*2*Tinh_toan_x2!E13/Tinh_toan_x2!E12*F125</f>
        <v>-0.56714062500000006</v>
      </c>
      <c r="F125" s="1">
        <f>Chu_ky!D15*(Chu_ky!F15+Chu_ky!E15*(Chu_ky!B15*10/10))</f>
        <v>0</v>
      </c>
      <c r="G125" s="1">
        <f>Chu_ky!D15*Chu_ky!E15</f>
        <v>0.2742857142857143</v>
      </c>
      <c r="H125" s="1" t="str">
        <f>Chu_ky!A15</f>
        <v>Không tải tăng j-</v>
      </c>
    </row>
    <row r="126" spans="1:8" ht="32.1" customHeight="1">
      <c r="A126" s="1">
        <f>Chu_ky!H16+(Chu_ky!B16*0/10)</f>
        <v>124</v>
      </c>
      <c r="B126" s="1">
        <f>Chu_ky!D16*(Chu_ky!G16+Chu_ky!F16*(Chu_ky!B16*0/10)+0.5*Chu_ky!E16*(Chu_ky!B16*0/10)^2)</f>
        <v>-0.12000000000000001</v>
      </c>
      <c r="C126" s="1">
        <f>Chu_ky!C16*(Chu_ky!D16*Tinh_toan_x2!E14*Tinh_toan_x2!E17+F126)</f>
        <v>-435.56400000000002</v>
      </c>
      <c r="D126" s="1">
        <f>E126*B126*2*Tinh_toan_x2!E13/Tinh_toan_x2!E12</f>
        <v>54.44550000000001</v>
      </c>
      <c r="E126" s="1">
        <f>C126*Tinh_toan_x2!E12/(2*Tinh_toan_x2!E15*Tinh_toan_x2!E13)+(Tinh_toan_x2!C47+Tinh_toan_x2!E52+Tinh_toan_x2!E53/Tinh_toan_x2!E13^2)*2*Tinh_toan_x2!E13/Tinh_toan_x2!E12*F126</f>
        <v>-0.56714062500000006</v>
      </c>
      <c r="F126" s="1">
        <f>Chu_ky!D16*(Chu_ky!F16+Chu_ky!E16*(Chu_ky!B16*0/10))</f>
        <v>0</v>
      </c>
      <c r="G126" s="1">
        <f>Chu_ky!D16*Chu_ky!E16</f>
        <v>0</v>
      </c>
      <c r="H126" s="1" t="str">
        <f>Chu_ky!A16</f>
        <v>Không tải đều</v>
      </c>
    </row>
    <row r="127" spans="1:8" ht="32.1" customHeight="1">
      <c r="A127" s="1">
        <f>Chu_ky!H16+(Chu_ky!B16*1/10)</f>
        <v>132.25</v>
      </c>
      <c r="B127" s="1">
        <f>Chu_ky!D16*(Chu_ky!G16+Chu_ky!F16*(Chu_ky!B16*1/10)+0.5*Chu_ky!E16*(Chu_ky!B16*1/10)^2)</f>
        <v>-0.12000000000000001</v>
      </c>
      <c r="C127" s="1">
        <f>Chu_ky!C16*(Chu_ky!D16*Tinh_toan_x2!E14*Tinh_toan_x2!E17+F127)</f>
        <v>-435.56400000000002</v>
      </c>
      <c r="D127" s="1">
        <f>E127*B127*2*Tinh_toan_x2!E13/Tinh_toan_x2!E12</f>
        <v>54.44550000000001</v>
      </c>
      <c r="E127" s="1">
        <f>C127*Tinh_toan_x2!E12/(2*Tinh_toan_x2!E15*Tinh_toan_x2!E13)+(Tinh_toan_x2!C47+Tinh_toan_x2!E52+Tinh_toan_x2!E53/Tinh_toan_x2!E13^2)*2*Tinh_toan_x2!E13/Tinh_toan_x2!E12*F127</f>
        <v>-0.56714062500000006</v>
      </c>
      <c r="F127" s="1">
        <f>Chu_ky!D16*(Chu_ky!F16+Chu_ky!E16*(Chu_ky!B16*1/10))</f>
        <v>0</v>
      </c>
      <c r="G127" s="1">
        <f>Chu_ky!D16*Chu_ky!E16</f>
        <v>0</v>
      </c>
      <c r="H127" s="1" t="str">
        <f>Chu_ky!A16</f>
        <v>Không tải đều</v>
      </c>
    </row>
    <row r="128" spans="1:8" ht="32.1" customHeight="1">
      <c r="A128" s="1">
        <f>Chu_ky!H16+(Chu_ky!B16*2/10)</f>
        <v>140.5</v>
      </c>
      <c r="B128" s="1">
        <f>Chu_ky!D16*(Chu_ky!G16+Chu_ky!F16*(Chu_ky!B16*2/10)+0.5*Chu_ky!E16*(Chu_ky!B16*2/10)^2)</f>
        <v>-0.12000000000000001</v>
      </c>
      <c r="C128" s="1">
        <f>Chu_ky!C16*(Chu_ky!D16*Tinh_toan_x2!E14*Tinh_toan_x2!E17+F128)</f>
        <v>-435.56400000000002</v>
      </c>
      <c r="D128" s="1">
        <f>E128*B128*2*Tinh_toan_x2!E13/Tinh_toan_x2!E12</f>
        <v>54.44550000000001</v>
      </c>
      <c r="E128" s="1">
        <f>C128*Tinh_toan_x2!E12/(2*Tinh_toan_x2!E15*Tinh_toan_x2!E13)+(Tinh_toan_x2!C47+Tinh_toan_x2!E52+Tinh_toan_x2!E53/Tinh_toan_x2!E13^2)*2*Tinh_toan_x2!E13/Tinh_toan_x2!E12*F128</f>
        <v>-0.56714062500000006</v>
      </c>
      <c r="F128" s="1">
        <f>Chu_ky!D16*(Chu_ky!F16+Chu_ky!E16*(Chu_ky!B16*2/10))</f>
        <v>0</v>
      </c>
      <c r="G128" s="1">
        <f>Chu_ky!D16*Chu_ky!E16</f>
        <v>0</v>
      </c>
      <c r="H128" s="1" t="str">
        <f>Chu_ky!A16</f>
        <v>Không tải đều</v>
      </c>
    </row>
    <row r="129" spans="1:8" ht="32.1" customHeight="1">
      <c r="A129" s="1">
        <f>Chu_ky!H16+(Chu_ky!B16*3/10)</f>
        <v>148.75</v>
      </c>
      <c r="B129" s="1">
        <f>Chu_ky!D16*(Chu_ky!G16+Chu_ky!F16*(Chu_ky!B16*3/10)+0.5*Chu_ky!E16*(Chu_ky!B16*3/10)^2)</f>
        <v>-0.12000000000000001</v>
      </c>
      <c r="C129" s="1">
        <f>Chu_ky!C16*(Chu_ky!D16*Tinh_toan_x2!E14*Tinh_toan_x2!E17+F129)</f>
        <v>-435.56400000000002</v>
      </c>
      <c r="D129" s="1">
        <f>E129*B129*2*Tinh_toan_x2!E13/Tinh_toan_x2!E12</f>
        <v>54.44550000000001</v>
      </c>
      <c r="E129" s="1">
        <f>C129*Tinh_toan_x2!E12/(2*Tinh_toan_x2!E15*Tinh_toan_x2!E13)+(Tinh_toan_x2!C47+Tinh_toan_x2!E52+Tinh_toan_x2!E53/Tinh_toan_x2!E13^2)*2*Tinh_toan_x2!E13/Tinh_toan_x2!E12*F129</f>
        <v>-0.56714062500000006</v>
      </c>
      <c r="F129" s="1">
        <f>Chu_ky!D16*(Chu_ky!F16+Chu_ky!E16*(Chu_ky!B16*3/10))</f>
        <v>0</v>
      </c>
      <c r="G129" s="1">
        <f>Chu_ky!D16*Chu_ky!E16</f>
        <v>0</v>
      </c>
      <c r="H129" s="1" t="str">
        <f>Chu_ky!A16</f>
        <v>Không tải đều</v>
      </c>
    </row>
    <row r="130" spans="1:8" ht="32.1" customHeight="1">
      <c r="A130" s="1">
        <f>Chu_ky!H16+(Chu_ky!B16*4/10)</f>
        <v>157</v>
      </c>
      <c r="B130" s="1">
        <f>Chu_ky!D16*(Chu_ky!G16+Chu_ky!F16*(Chu_ky!B16*4/10)+0.5*Chu_ky!E16*(Chu_ky!B16*4/10)^2)</f>
        <v>-0.12000000000000001</v>
      </c>
      <c r="C130" s="1">
        <f>Chu_ky!C16*(Chu_ky!D16*Tinh_toan_x2!E14*Tinh_toan_x2!E17+F130)</f>
        <v>-435.56400000000002</v>
      </c>
      <c r="D130" s="1">
        <f>E130*B130*2*Tinh_toan_x2!E13/Tinh_toan_x2!E12</f>
        <v>54.44550000000001</v>
      </c>
      <c r="E130" s="1">
        <f>C130*Tinh_toan_x2!E12/(2*Tinh_toan_x2!E15*Tinh_toan_x2!E13)+(Tinh_toan_x2!C47+Tinh_toan_x2!E52+Tinh_toan_x2!E53/Tinh_toan_x2!E13^2)*2*Tinh_toan_x2!E13/Tinh_toan_x2!E12*F130</f>
        <v>-0.56714062500000006</v>
      </c>
      <c r="F130" s="1">
        <f>Chu_ky!D16*(Chu_ky!F16+Chu_ky!E16*(Chu_ky!B16*4/10))</f>
        <v>0</v>
      </c>
      <c r="G130" s="1">
        <f>Chu_ky!D16*Chu_ky!E16</f>
        <v>0</v>
      </c>
      <c r="H130" s="1" t="str">
        <f>Chu_ky!A16</f>
        <v>Không tải đều</v>
      </c>
    </row>
    <row r="131" spans="1:8" ht="32.1" customHeight="1">
      <c r="A131" s="1">
        <f>Chu_ky!H16+(Chu_ky!B16*5/10)</f>
        <v>165.25</v>
      </c>
      <c r="B131" s="1">
        <f>Chu_ky!D16*(Chu_ky!G16+Chu_ky!F16*(Chu_ky!B16*5/10)+0.5*Chu_ky!E16*(Chu_ky!B16*5/10)^2)</f>
        <v>-0.12000000000000001</v>
      </c>
      <c r="C131" s="1">
        <f>Chu_ky!C16*(Chu_ky!D16*Tinh_toan_x2!E14*Tinh_toan_x2!E17+F131)</f>
        <v>-435.56400000000002</v>
      </c>
      <c r="D131" s="1">
        <f>E131*B131*2*Tinh_toan_x2!E13/Tinh_toan_x2!E12</f>
        <v>54.44550000000001</v>
      </c>
      <c r="E131" s="1">
        <f>C131*Tinh_toan_x2!E12/(2*Tinh_toan_x2!E15*Tinh_toan_x2!E13)+(Tinh_toan_x2!C47+Tinh_toan_x2!E52+Tinh_toan_x2!E53/Tinh_toan_x2!E13^2)*2*Tinh_toan_x2!E13/Tinh_toan_x2!E12*F131</f>
        <v>-0.56714062500000006</v>
      </c>
      <c r="F131" s="1">
        <f>Chu_ky!D16*(Chu_ky!F16+Chu_ky!E16*(Chu_ky!B16*5/10))</f>
        <v>0</v>
      </c>
      <c r="G131" s="1">
        <f>Chu_ky!D16*Chu_ky!E16</f>
        <v>0</v>
      </c>
      <c r="H131" s="1" t="str">
        <f>Chu_ky!A16</f>
        <v>Không tải đều</v>
      </c>
    </row>
    <row r="132" spans="1:8" ht="32.1" customHeight="1">
      <c r="A132" s="1">
        <f>Chu_ky!H16+(Chu_ky!B16*6/10)</f>
        <v>173.5</v>
      </c>
      <c r="B132" s="1">
        <f>Chu_ky!D16*(Chu_ky!G16+Chu_ky!F16*(Chu_ky!B16*6/10)+0.5*Chu_ky!E16*(Chu_ky!B16*6/10)^2)</f>
        <v>-0.12000000000000001</v>
      </c>
      <c r="C132" s="1">
        <f>Chu_ky!C16*(Chu_ky!D16*Tinh_toan_x2!E14*Tinh_toan_x2!E17+F132)</f>
        <v>-435.56400000000002</v>
      </c>
      <c r="D132" s="1">
        <f>E132*B132*2*Tinh_toan_x2!E13/Tinh_toan_x2!E12</f>
        <v>54.44550000000001</v>
      </c>
      <c r="E132" s="1">
        <f>C132*Tinh_toan_x2!E12/(2*Tinh_toan_x2!E15*Tinh_toan_x2!E13)+(Tinh_toan_x2!C47+Tinh_toan_x2!E52+Tinh_toan_x2!E53/Tinh_toan_x2!E13^2)*2*Tinh_toan_x2!E13/Tinh_toan_x2!E12*F132</f>
        <v>-0.56714062500000006</v>
      </c>
      <c r="F132" s="1">
        <f>Chu_ky!D16*(Chu_ky!F16+Chu_ky!E16*(Chu_ky!B16*6/10))</f>
        <v>0</v>
      </c>
      <c r="G132" s="1">
        <f>Chu_ky!D16*Chu_ky!E16</f>
        <v>0</v>
      </c>
      <c r="H132" s="1" t="str">
        <f>Chu_ky!A16</f>
        <v>Không tải đều</v>
      </c>
    </row>
    <row r="133" spans="1:8" ht="32.1" customHeight="1">
      <c r="A133" s="1">
        <f>Chu_ky!H16+(Chu_ky!B16*7/10)</f>
        <v>181.75</v>
      </c>
      <c r="B133" s="1">
        <f>Chu_ky!D16*(Chu_ky!G16+Chu_ky!F16*(Chu_ky!B16*7/10)+0.5*Chu_ky!E16*(Chu_ky!B16*7/10)^2)</f>
        <v>-0.12000000000000001</v>
      </c>
      <c r="C133" s="1">
        <f>Chu_ky!C16*(Chu_ky!D16*Tinh_toan_x2!E14*Tinh_toan_x2!E17+F133)</f>
        <v>-435.56400000000002</v>
      </c>
      <c r="D133" s="1">
        <f>E133*B133*2*Tinh_toan_x2!E13/Tinh_toan_x2!E12</f>
        <v>54.44550000000001</v>
      </c>
      <c r="E133" s="1">
        <f>C133*Tinh_toan_x2!E12/(2*Tinh_toan_x2!E15*Tinh_toan_x2!E13)+(Tinh_toan_x2!C47+Tinh_toan_x2!E52+Tinh_toan_x2!E53/Tinh_toan_x2!E13^2)*2*Tinh_toan_x2!E13/Tinh_toan_x2!E12*F133</f>
        <v>-0.56714062500000006</v>
      </c>
      <c r="F133" s="1">
        <f>Chu_ky!D16*(Chu_ky!F16+Chu_ky!E16*(Chu_ky!B16*7/10))</f>
        <v>0</v>
      </c>
      <c r="G133" s="1">
        <f>Chu_ky!D16*Chu_ky!E16</f>
        <v>0</v>
      </c>
      <c r="H133" s="1" t="str">
        <f>Chu_ky!A16</f>
        <v>Không tải đều</v>
      </c>
    </row>
    <row r="134" spans="1:8" ht="32.1" customHeight="1">
      <c r="A134" s="1">
        <f>Chu_ky!H16+(Chu_ky!B16*8/10)</f>
        <v>190</v>
      </c>
      <c r="B134" s="1">
        <f>Chu_ky!D16*(Chu_ky!G16+Chu_ky!F16*(Chu_ky!B16*8/10)+0.5*Chu_ky!E16*(Chu_ky!B16*8/10)^2)</f>
        <v>-0.12000000000000001</v>
      </c>
      <c r="C134" s="1">
        <f>Chu_ky!C16*(Chu_ky!D16*Tinh_toan_x2!E14*Tinh_toan_x2!E17+F134)</f>
        <v>-435.56400000000002</v>
      </c>
      <c r="D134" s="1">
        <f>E134*B134*2*Tinh_toan_x2!E13/Tinh_toan_x2!E12</f>
        <v>54.44550000000001</v>
      </c>
      <c r="E134" s="1">
        <f>C134*Tinh_toan_x2!E12/(2*Tinh_toan_x2!E15*Tinh_toan_x2!E13)+(Tinh_toan_x2!C47+Tinh_toan_x2!E52+Tinh_toan_x2!E53/Tinh_toan_x2!E13^2)*2*Tinh_toan_x2!E13/Tinh_toan_x2!E12*F134</f>
        <v>-0.56714062500000006</v>
      </c>
      <c r="F134" s="1">
        <f>Chu_ky!D16*(Chu_ky!F16+Chu_ky!E16*(Chu_ky!B16*8/10))</f>
        <v>0</v>
      </c>
      <c r="G134" s="1">
        <f>Chu_ky!D16*Chu_ky!E16</f>
        <v>0</v>
      </c>
      <c r="H134" s="1" t="str">
        <f>Chu_ky!A16</f>
        <v>Không tải đều</v>
      </c>
    </row>
    <row r="135" spans="1:8" ht="32.1" customHeight="1">
      <c r="A135" s="1">
        <f>Chu_ky!H16+(Chu_ky!B16*9/10)</f>
        <v>198.25</v>
      </c>
      <c r="B135" s="1">
        <f>Chu_ky!D16*(Chu_ky!G16+Chu_ky!F16*(Chu_ky!B16*9/10)+0.5*Chu_ky!E16*(Chu_ky!B16*9/10)^2)</f>
        <v>-0.12000000000000001</v>
      </c>
      <c r="C135" s="1">
        <f>Chu_ky!C16*(Chu_ky!D16*Tinh_toan_x2!E14*Tinh_toan_x2!E17+F135)</f>
        <v>-435.56400000000002</v>
      </c>
      <c r="D135" s="1">
        <f>E135*B135*2*Tinh_toan_x2!E13/Tinh_toan_x2!E12</f>
        <v>54.44550000000001</v>
      </c>
      <c r="E135" s="1">
        <f>C135*Tinh_toan_x2!E12/(2*Tinh_toan_x2!E15*Tinh_toan_x2!E13)+(Tinh_toan_x2!C47+Tinh_toan_x2!E52+Tinh_toan_x2!E53/Tinh_toan_x2!E13^2)*2*Tinh_toan_x2!E13/Tinh_toan_x2!E12*F135</f>
        <v>-0.56714062500000006</v>
      </c>
      <c r="F135" s="1">
        <f>Chu_ky!D16*(Chu_ky!F16+Chu_ky!E16*(Chu_ky!B16*9/10))</f>
        <v>0</v>
      </c>
      <c r="G135" s="1">
        <f>Chu_ky!D16*Chu_ky!E16</f>
        <v>0</v>
      </c>
      <c r="H135" s="1" t="str">
        <f>Chu_ky!A16</f>
        <v>Không tải đều</v>
      </c>
    </row>
    <row r="136" spans="1:8" ht="32.1" customHeight="1">
      <c r="A136" s="1">
        <f>Chu_ky!H16+(Chu_ky!B16*10/10)</f>
        <v>206.5</v>
      </c>
      <c r="B136" s="1">
        <f>Chu_ky!D16*(Chu_ky!G16+Chu_ky!F16*(Chu_ky!B16*10/10)+0.5*Chu_ky!E16*(Chu_ky!B16*10/10)^2)</f>
        <v>-0.12000000000000001</v>
      </c>
      <c r="C136" s="1">
        <f>Chu_ky!C16*(Chu_ky!D16*Tinh_toan_x2!E14*Tinh_toan_x2!E17+F136)</f>
        <v>-435.56400000000002</v>
      </c>
      <c r="D136" s="1">
        <f>E136*B136*2*Tinh_toan_x2!E13/Tinh_toan_x2!E12</f>
        <v>54.44550000000001</v>
      </c>
      <c r="E136" s="1">
        <f>C136*Tinh_toan_x2!E12/(2*Tinh_toan_x2!E15*Tinh_toan_x2!E13)+(Tinh_toan_x2!C47+Tinh_toan_x2!E52+Tinh_toan_x2!E53/Tinh_toan_x2!E13^2)*2*Tinh_toan_x2!E13/Tinh_toan_x2!E12*F136</f>
        <v>-0.56714062500000006</v>
      </c>
      <c r="F136" s="1">
        <f>Chu_ky!D16*(Chu_ky!F16+Chu_ky!E16*(Chu_ky!B16*10/10))</f>
        <v>0</v>
      </c>
      <c r="G136" s="1">
        <f>Chu_ky!D16*Chu_ky!E16</f>
        <v>0</v>
      </c>
      <c r="H136" s="1" t="str">
        <f>Chu_ky!A16</f>
        <v>Không tải đều</v>
      </c>
    </row>
    <row r="137" spans="1:8" ht="32.1" customHeight="1">
      <c r="A137" s="1">
        <f>Chu_ky!H17+(Chu_ky!B17*0/10)</f>
        <v>206.5</v>
      </c>
      <c r="B137" s="1">
        <f>Chu_ky!D17*(Chu_ky!G17+Chu_ky!F17*(Chu_ky!B17*0/10)+0.5*Chu_ky!E17*(Chu_ky!B17*0/10)^2)</f>
        <v>-0.12000000000000001</v>
      </c>
      <c r="C137" s="1">
        <f>Chu_ky!C17*(Chu_ky!D17*Tinh_toan_x2!E14*Tinh_toan_x2!E17+F137)</f>
        <v>-435.56400000000002</v>
      </c>
      <c r="D137" s="1">
        <f>E137*B137*2*Tinh_toan_x2!E13/Tinh_toan_x2!E12</f>
        <v>54.44550000000001</v>
      </c>
      <c r="E137" s="1">
        <f>C137*Tinh_toan_x2!E12/(2*Tinh_toan_x2!E15*Tinh_toan_x2!E13)+(Tinh_toan_x2!C47+Tinh_toan_x2!E52+Tinh_toan_x2!E53/Tinh_toan_x2!E13^2)*2*Tinh_toan_x2!E13/Tinh_toan_x2!E12*F137</f>
        <v>-0.56714062500000006</v>
      </c>
      <c r="F137" s="1">
        <f>Chu_ky!D17*(Chu_ky!F17+Chu_ky!E17*(Chu_ky!B17*0/10))</f>
        <v>0</v>
      </c>
      <c r="G137" s="1">
        <f>Chu_ky!D17*Chu_ky!E17</f>
        <v>0.10105263157894738</v>
      </c>
      <c r="H137" s="1" t="str">
        <f>Chu_ky!A17</f>
        <v>Không tải giảm j-</v>
      </c>
    </row>
    <row r="138" spans="1:8" ht="32.1" customHeight="1">
      <c r="A138" s="1">
        <f>Chu_ky!H17+(Chu_ky!B17*1/10)</f>
        <v>206.52500000000001</v>
      </c>
      <c r="B138" s="1">
        <f>Chu_ky!D17*(Chu_ky!G17+Chu_ky!F17*(Chu_ky!B17*1/10)+0.5*Chu_ky!E17*(Chu_ky!B17*1/10)^2)</f>
        <v>-0.11996842105263159</v>
      </c>
      <c r="C138" s="1">
        <f>Chu_ky!C17*(Chu_ky!D17*Tinh_toan_x2!E14*Tinh_toan_x2!E17+F138)</f>
        <v>-435.00315789473689</v>
      </c>
      <c r="D138" s="1">
        <f>E138*B138*2*Tinh_toan_x2!E13/Tinh_toan_x2!E12</f>
        <v>46.796255638504164</v>
      </c>
      <c r="E138" s="1">
        <f>C138*Tinh_toan_x2!E12/(2*Tinh_toan_x2!E15*Tinh_toan_x2!E13)+(Tinh_toan_x2!C47+Tinh_toan_x2!E52+Tinh_toan_x2!E53/Tinh_toan_x2!E13^2)*2*Tinh_toan_x2!E13/Tinh_toan_x2!E12*F138</f>
        <v>-0.4875893092105264</v>
      </c>
      <c r="F138" s="1">
        <f>Chu_ky!D17*(Chu_ky!F17+Chu_ky!E17*(Chu_ky!B17*1/10))</f>
        <v>2.5263157894736847E-3</v>
      </c>
      <c r="G138" s="1">
        <f>Chu_ky!D17*Chu_ky!E17</f>
        <v>0.10105263157894738</v>
      </c>
      <c r="H138" s="1" t="str">
        <f>Chu_ky!A17</f>
        <v>Không tải giảm j-</v>
      </c>
    </row>
    <row r="139" spans="1:8" ht="32.1" customHeight="1">
      <c r="A139" s="1">
        <f>Chu_ky!H17+(Chu_ky!B17*2/10)</f>
        <v>206.55</v>
      </c>
      <c r="B139" s="1">
        <f>Chu_ky!D17*(Chu_ky!G17+Chu_ky!F17*(Chu_ky!B17*2/10)+0.5*Chu_ky!E17*(Chu_ky!B17*2/10)^2)</f>
        <v>-0.11987368421052633</v>
      </c>
      <c r="C139" s="1">
        <f>Chu_ky!C17*(Chu_ky!D17*Tinh_toan_x2!E14*Tinh_toan_x2!E17+F139)</f>
        <v>-434.4423157894737</v>
      </c>
      <c r="D139" s="1">
        <f>E139*B139*2*Tinh_toan_x2!E13/Tinh_toan_x2!E12</f>
        <v>39.130414055401666</v>
      </c>
      <c r="E139" s="1">
        <f>C139*Tinh_toan_x2!E12/(2*Tinh_toan_x2!E15*Tinh_toan_x2!E13)+(Tinh_toan_x2!C47+Tinh_toan_x2!E52+Tinh_toan_x2!E53/Tinh_toan_x2!E13^2)*2*Tinh_toan_x2!E13/Tinh_toan_x2!E12*F139</f>
        <v>-0.40803799342105262</v>
      </c>
      <c r="F139" s="1">
        <f>Chu_ky!D17*(Chu_ky!F17+Chu_ky!E17*(Chu_ky!B17*2/10))</f>
        <v>5.0526315789473693E-3</v>
      </c>
      <c r="G139" s="1">
        <f>Chu_ky!D17*Chu_ky!E17</f>
        <v>0.10105263157894738</v>
      </c>
      <c r="H139" s="1" t="str">
        <f>Chu_ky!A17</f>
        <v>Không tải giảm j-</v>
      </c>
    </row>
    <row r="140" spans="1:8" ht="32.1" customHeight="1">
      <c r="A140" s="1">
        <f>Chu_ky!H17+(Chu_ky!B17*3/10)</f>
        <v>206.57499999999999</v>
      </c>
      <c r="B140" s="1">
        <f>Chu_ky!D17*(Chu_ky!G17+Chu_ky!F17*(Chu_ky!B17*3/10)+0.5*Chu_ky!E17*(Chu_ky!B17*3/10)^2)</f>
        <v>-0.11971578947368422</v>
      </c>
      <c r="C140" s="1">
        <f>Chu_ky!C17*(Chu_ky!D17*Tinh_toan_x2!E14*Tinh_toan_x2!E17+F140)</f>
        <v>-433.88147368421056</v>
      </c>
      <c r="D140" s="1">
        <f>E140*B140*2*Tinh_toan_x2!E13/Tinh_toan_x2!E12</f>
        <v>31.460033555401672</v>
      </c>
      <c r="E140" s="1">
        <f>C140*Tinh_toan_x2!E12/(2*Tinh_toan_x2!E15*Tinh_toan_x2!E13)+(Tinh_toan_x2!C47+Tinh_toan_x2!E52+Tinh_toan_x2!E53/Tinh_toan_x2!E13^2)*2*Tinh_toan_x2!E13/Tinh_toan_x2!E12*F140</f>
        <v>-0.32848667763157902</v>
      </c>
      <c r="F140" s="1">
        <f>Chu_ky!D17*(Chu_ky!F17+Chu_ky!E17*(Chu_ky!B17*3/10))</f>
        <v>7.5789473684210532E-3</v>
      </c>
      <c r="G140" s="1">
        <f>Chu_ky!D17*Chu_ky!E17</f>
        <v>0.10105263157894738</v>
      </c>
      <c r="H140" s="1" t="str">
        <f>Chu_ky!A17</f>
        <v>Không tải giảm j-</v>
      </c>
    </row>
    <row r="141" spans="1:8" ht="32.1" customHeight="1">
      <c r="A141" s="1">
        <f>Chu_ky!H17+(Chu_ky!B17*4/10)</f>
        <v>206.6</v>
      </c>
      <c r="B141" s="1">
        <f>Chu_ky!D17*(Chu_ky!G17+Chu_ky!F17*(Chu_ky!B17*4/10)+0.5*Chu_ky!E17*(Chu_ky!B17*4/10)^2)</f>
        <v>-0.11949473684210528</v>
      </c>
      <c r="C141" s="1">
        <f>Chu_ky!C17*(Chu_ky!D17*Tinh_toan_x2!E14*Tinh_toan_x2!E17+F141)</f>
        <v>-433.32063157894737</v>
      </c>
      <c r="D141" s="1">
        <f>E141*B141*2*Tinh_toan_x2!E13/Tinh_toan_x2!E12</f>
        <v>23.797172443213292</v>
      </c>
      <c r="E141" s="1">
        <f>C141*Tinh_toan_x2!E12/(2*Tinh_toan_x2!E15*Tinh_toan_x2!E13)+(Tinh_toan_x2!C47+Tinh_toan_x2!E52+Tinh_toan_x2!E53/Tinh_toan_x2!E13^2)*2*Tinh_toan_x2!E13/Tinh_toan_x2!E12*F141</f>
        <v>-0.24893536184210519</v>
      </c>
      <c r="F141" s="1">
        <f>Chu_ky!D17*(Chu_ky!F17+Chu_ky!E17*(Chu_ky!B17*4/10))</f>
        <v>1.0105263157894739E-2</v>
      </c>
      <c r="G141" s="1">
        <f>Chu_ky!D17*Chu_ky!E17</f>
        <v>0.10105263157894738</v>
      </c>
      <c r="H141" s="1" t="str">
        <f>Chu_ky!A17</f>
        <v>Không tải giảm j-</v>
      </c>
    </row>
    <row r="142" spans="1:8" ht="32.1" customHeight="1">
      <c r="A142" s="1">
        <f>Chu_ky!H17+(Chu_ky!B17*5/10)</f>
        <v>206.625</v>
      </c>
      <c r="B142" s="1">
        <f>Chu_ky!D17*(Chu_ky!G17+Chu_ky!F17*(Chu_ky!B17*5/10)+0.5*Chu_ky!E17*(Chu_ky!B17*5/10)^2)</f>
        <v>-0.11921052631578949</v>
      </c>
      <c r="C142" s="1">
        <f>Chu_ky!C17*(Chu_ky!D17*Tinh_toan_x2!E14*Tinh_toan_x2!E17+F142)</f>
        <v>-432.75978947368429</v>
      </c>
      <c r="D142" s="1">
        <f>E142*B142*2*Tinh_toan_x2!E13/Tinh_toan_x2!E12</f>
        <v>16.153889023545716</v>
      </c>
      <c r="E142" s="1">
        <f>C142*Tinh_toan_x2!E12/(2*Tinh_toan_x2!E15*Tinh_toan_x2!E13)+(Tinh_toan_x2!C47+Tinh_toan_x2!E52+Tinh_toan_x2!E53/Tinh_toan_x2!E13^2)*2*Tinh_toan_x2!E13/Tinh_toan_x2!E12*F142</f>
        <v>-0.16938404605263163</v>
      </c>
      <c r="F142" s="1">
        <f>Chu_ky!D17*(Chu_ky!F17+Chu_ky!E17*(Chu_ky!B17*5/10))</f>
        <v>1.2631578947368423E-2</v>
      </c>
      <c r="G142" s="1">
        <f>Chu_ky!D17*Chu_ky!E17</f>
        <v>0.10105263157894738</v>
      </c>
      <c r="H142" s="1" t="str">
        <f>Chu_ky!A17</f>
        <v>Không tải giảm j-</v>
      </c>
    </row>
    <row r="143" spans="1:8" ht="32.1" customHeight="1">
      <c r="A143" s="1">
        <f>Chu_ky!H17+(Chu_ky!B17*6/10)</f>
        <v>206.65</v>
      </c>
      <c r="B143" s="1">
        <f>Chu_ky!D17*(Chu_ky!G17+Chu_ky!F17*(Chu_ky!B17*6/10)+0.5*Chu_ky!E17*(Chu_ky!B17*6/10)^2)</f>
        <v>-0.11886315789473685</v>
      </c>
      <c r="C143" s="1">
        <f>Chu_ky!C17*(Chu_ky!D17*Tinh_toan_x2!E14*Tinh_toan_x2!E17+F143)</f>
        <v>-432.1989473684211</v>
      </c>
      <c r="D143" s="1">
        <f>E143*B143*2*Tinh_toan_x2!E13/Tinh_toan_x2!E12</f>
        <v>8.5422416011080351</v>
      </c>
      <c r="E143" s="1">
        <f>C143*Tinh_toan_x2!E12/(2*Tinh_toan_x2!E15*Tinh_toan_x2!E13)+(Tinh_toan_x2!C47+Tinh_toan_x2!E52+Tinh_toan_x2!E53/Tinh_toan_x2!E13^2)*2*Tinh_toan_x2!E13/Tinh_toan_x2!E12*F143</f>
        <v>-8.9832730263157912E-2</v>
      </c>
      <c r="F143" s="1">
        <f>Chu_ky!D17*(Chu_ky!F17+Chu_ky!E17*(Chu_ky!B17*6/10))</f>
        <v>1.5157894736842106E-2</v>
      </c>
      <c r="G143" s="1">
        <f>Chu_ky!D17*Chu_ky!E17</f>
        <v>0.10105263157894738</v>
      </c>
      <c r="H143" s="1" t="str">
        <f>Chu_ky!A17</f>
        <v>Không tải giảm j-</v>
      </c>
    </row>
    <row r="144" spans="1:8" ht="32.1" customHeight="1">
      <c r="A144" s="1">
        <f>Chu_ky!H17+(Chu_ky!B17*7/10)</f>
        <v>206.67500000000001</v>
      </c>
      <c r="B144" s="1">
        <f>Chu_ky!D17*(Chu_ky!G17+Chu_ky!F17*(Chu_ky!B17*7/10)+0.5*Chu_ky!E17*(Chu_ky!B17*7/10)^2)</f>
        <v>-0.11845263157894738</v>
      </c>
      <c r="C144" s="1">
        <f>Chu_ky!C17*(Chu_ky!D17*Tinh_toan_x2!E14*Tinh_toan_x2!E17+F144)</f>
        <v>-431.63810526315797</v>
      </c>
      <c r="D144" s="1">
        <f>E144*B144*2*Tinh_toan_x2!E13/Tinh_toan_x2!E12</f>
        <v>0.97428848060942175</v>
      </c>
      <c r="E144" s="1">
        <f>C144*Tinh_toan_x2!E12/(2*Tinh_toan_x2!E15*Tinh_toan_x2!E13)+(Tinh_toan_x2!C47+Tinh_toan_x2!E52+Tinh_toan_x2!E53/Tinh_toan_x2!E13^2)*2*Tinh_toan_x2!E13/Tinh_toan_x2!E12*F144</f>
        <v>-1.0281414473684247E-2</v>
      </c>
      <c r="F144" s="1">
        <f>Chu_ky!D17*(Chu_ky!F17+Chu_ky!E17*(Chu_ky!B17*7/10))</f>
        <v>1.7684210526315792E-2</v>
      </c>
      <c r="G144" s="1">
        <f>Chu_ky!D17*Chu_ky!E17</f>
        <v>0.10105263157894738</v>
      </c>
      <c r="H144" s="1" t="str">
        <f>Chu_ky!A17</f>
        <v>Không tải giảm j-</v>
      </c>
    </row>
    <row r="145" spans="1:8" ht="32.1" customHeight="1">
      <c r="A145" s="1">
        <f>Chu_ky!H17+(Chu_ky!B17*8/10)</f>
        <v>206.7</v>
      </c>
      <c r="B145" s="1">
        <f>Chu_ky!D17*(Chu_ky!G17+Chu_ky!F17*(Chu_ky!B17*8/10)+0.5*Chu_ky!E17*(Chu_ky!B17*8/10)^2)</f>
        <v>-0.11797894736842106</v>
      </c>
      <c r="C145" s="1">
        <f>Chu_ky!C17*(Chu_ky!D17*Tinh_toan_x2!E14*Tinh_toan_x2!E17+F145)</f>
        <v>-431.07726315789478</v>
      </c>
      <c r="D145" s="1">
        <f>E145*B145*2*Tinh_toan_x2!E13/Tinh_toan_x2!E12</f>
        <v>-6.537912033240997</v>
      </c>
      <c r="E145" s="1">
        <f>C145*Tinh_toan_x2!E12/(2*Tinh_toan_x2!E15*Tinh_toan_x2!E13)+(Tinh_toan_x2!C47+Tinh_toan_x2!E52+Tinh_toan_x2!E53/Tinh_toan_x2!E13^2)*2*Tinh_toan_x2!E13/Tinh_toan_x2!E12*F145</f>
        <v>6.9269901315789473E-2</v>
      </c>
      <c r="F145" s="1">
        <f>Chu_ky!D17*(Chu_ky!F17+Chu_ky!E17*(Chu_ky!B17*8/10))</f>
        <v>2.0210526315789477E-2</v>
      </c>
      <c r="G145" s="1">
        <f>Chu_ky!D17*Chu_ky!E17</f>
        <v>0.10105263157894738</v>
      </c>
      <c r="H145" s="1" t="str">
        <f>Chu_ky!A17</f>
        <v>Không tải giảm j-</v>
      </c>
    </row>
    <row r="146" spans="1:8" ht="32.1" customHeight="1">
      <c r="A146" s="1">
        <f>Chu_ky!H17+(Chu_ky!B17*9/10)</f>
        <v>206.72499999999999</v>
      </c>
      <c r="B146" s="1">
        <f>Chu_ky!D17*(Chu_ky!G17+Chu_ky!F17*(Chu_ky!B17*9/10)+0.5*Chu_ky!E17*(Chu_ky!B17*9/10)^2)</f>
        <v>-0.1174421052631579</v>
      </c>
      <c r="C146" s="1">
        <f>Chu_ky!C17*(Chu_ky!D17*Tinh_toan_x2!E14*Tinh_toan_x2!E17+F146)</f>
        <v>-430.51642105263164</v>
      </c>
      <c r="D146" s="1">
        <f>E146*B146*2*Tinh_toan_x2!E13/Tinh_toan_x2!E12</f>
        <v>-13.982301635734066</v>
      </c>
      <c r="E146" s="1">
        <f>C146*Tinh_toan_x2!E12/(2*Tinh_toan_x2!E15*Tinh_toan_x2!E13)+(Tinh_toan_x2!C47+Tinh_toan_x2!E52+Tinh_toan_x2!E53/Tinh_toan_x2!E13^2)*2*Tinh_toan_x2!E13/Tinh_toan_x2!E12*F146</f>
        <v>0.14882121710526308</v>
      </c>
      <c r="F146" s="1">
        <f>Chu_ky!D17*(Chu_ky!F17+Chu_ky!E17*(Chu_ky!B17*9/10))</f>
        <v>2.2736842105263159E-2</v>
      </c>
      <c r="G146" s="1">
        <f>Chu_ky!D17*Chu_ky!E17</f>
        <v>0.10105263157894738</v>
      </c>
      <c r="H146" s="1" t="str">
        <f>Chu_ky!A17</f>
        <v>Không tải giảm j-</v>
      </c>
    </row>
    <row r="147" spans="1:8" ht="32.1" customHeight="1">
      <c r="A147" s="1">
        <f>Chu_ky!H17+(Chu_ky!B17*10/10)</f>
        <v>206.75</v>
      </c>
      <c r="B147" s="1">
        <f>Chu_ky!D17*(Chu_ky!G17+Chu_ky!F17*(Chu_ky!B17*10/10)+0.5*Chu_ky!E17*(Chu_ky!B17*10/10)^2)</f>
        <v>-0.1168421052631579</v>
      </c>
      <c r="C147" s="1">
        <f>Chu_ky!C17*(Chu_ky!D17*Tinh_toan_x2!E14*Tinh_toan_x2!E17+F147)</f>
        <v>-429.95557894736845</v>
      </c>
      <c r="D147" s="1">
        <f>E147*B147*2*Tinh_toan_x2!E13/Tinh_toan_x2!E12</f>
        <v>-21.346822022160673</v>
      </c>
      <c r="E147" s="1">
        <f>C147*Tinh_toan_x2!E12/(2*Tinh_toan_x2!E15*Tinh_toan_x2!E13)+(Tinh_toan_x2!C47+Tinh_toan_x2!E52+Tinh_toan_x2!E53/Tinh_toan_x2!E13^2)*2*Tinh_toan_x2!E13/Tinh_toan_x2!E12*F147</f>
        <v>0.22837253289473691</v>
      </c>
      <c r="F147" s="1">
        <f>Chu_ky!D17*(Chu_ky!F17+Chu_ky!E17*(Chu_ky!B17*10/10))</f>
        <v>2.5263157894736845E-2</v>
      </c>
      <c r="G147" s="1">
        <f>Chu_ky!D17*Chu_ky!E17</f>
        <v>0.10105263157894738</v>
      </c>
      <c r="H147" s="1" t="str">
        <f>Chu_ky!A17</f>
        <v>Không tải giảm j-</v>
      </c>
    </row>
    <row r="148" spans="1:8" ht="32.1" customHeight="1">
      <c r="A148" s="1">
        <f>Chu_ky!H18+(Chu_ky!B18*0/10)</f>
        <v>206.75</v>
      </c>
      <c r="B148" s="1">
        <f>Chu_ky!D18*(Chu_ky!G18+Chu_ky!F18*(Chu_ky!B18*0/10)+0.5*Chu_ky!E18*(Chu_ky!B18*0/10)^2)</f>
        <v>-0.1168421052631579</v>
      </c>
      <c r="C148" s="1">
        <f>Chu_ky!C18*(Chu_ky!D18*Tinh_toan_x2!E14*Tinh_toan_x2!E17+F148)</f>
        <v>-429.95557894736845</v>
      </c>
      <c r="D148" s="1">
        <f>E148*B148*2*Tinh_toan_x2!E13/Tinh_toan_x2!E12</f>
        <v>-21.346822022160673</v>
      </c>
      <c r="E148" s="1">
        <f>C148*Tinh_toan_x2!E12/(2*Tinh_toan_x2!E15*Tinh_toan_x2!E13)+(Tinh_toan_x2!C47+Tinh_toan_x2!E52+Tinh_toan_x2!E53/Tinh_toan_x2!E13^2)*2*Tinh_toan_x2!E13/Tinh_toan_x2!E12*F148</f>
        <v>0.22837253289473691</v>
      </c>
      <c r="F148" s="1">
        <f>Chu_ky!D18*(Chu_ky!F18+Chu_ky!E18*(Chu_ky!B18*0/10))</f>
        <v>2.5263157894736845E-2</v>
      </c>
      <c r="G148" s="1">
        <f>Chu_ky!D18*Chu_ky!E18</f>
        <v>0</v>
      </c>
      <c r="H148" s="1" t="str">
        <f>Chu_ky!A18</f>
        <v>Không tải giảm a</v>
      </c>
    </row>
    <row r="149" spans="1:8" ht="32.1" customHeight="1">
      <c r="A149" s="1">
        <f>Chu_ky!H18+(Chu_ky!B18*1/10)</f>
        <v>207.2</v>
      </c>
      <c r="B149" s="1">
        <f>Chu_ky!D18*(Chu_ky!G18+Chu_ky!F18*(Chu_ky!B18*1/10)+0.5*Chu_ky!E18*(Chu_ky!B18*1/10)^2)</f>
        <v>-0.10547368421052632</v>
      </c>
      <c r="C149" s="1">
        <f>Chu_ky!C18*(Chu_ky!D18*Tinh_toan_x2!E14*Tinh_toan_x2!E17+F149)</f>
        <v>-429.95557894736845</v>
      </c>
      <c r="D149" s="1">
        <f>E149*B149*2*Tinh_toan_x2!E13/Tinh_toan_x2!E12</f>
        <v>-19.269833933518012</v>
      </c>
      <c r="E149" s="1">
        <f>C149*Tinh_toan_x2!E12/(2*Tinh_toan_x2!E15*Tinh_toan_x2!E13)+(Tinh_toan_x2!C47+Tinh_toan_x2!E52+Tinh_toan_x2!E53/Tinh_toan_x2!E13^2)*2*Tinh_toan_x2!E13/Tinh_toan_x2!E12*F149</f>
        <v>0.22837253289473691</v>
      </c>
      <c r="F149" s="1">
        <f>Chu_ky!D18*(Chu_ky!F18+Chu_ky!E18*(Chu_ky!B18*1/10))</f>
        <v>2.5263157894736845E-2</v>
      </c>
      <c r="G149" s="1">
        <f>Chu_ky!D18*Chu_ky!E18</f>
        <v>0</v>
      </c>
      <c r="H149" s="1" t="str">
        <f>Chu_ky!A18</f>
        <v>Không tải giảm a</v>
      </c>
    </row>
    <row r="150" spans="1:8" ht="32.1" customHeight="1">
      <c r="A150" s="1">
        <f>Chu_ky!H18+(Chu_ky!B18*2/10)</f>
        <v>207.65</v>
      </c>
      <c r="B150" s="1">
        <f>Chu_ky!D18*(Chu_ky!G18+Chu_ky!F18*(Chu_ky!B18*2/10)+0.5*Chu_ky!E18*(Chu_ky!B18*2/10)^2)</f>
        <v>-9.4105263157894747E-2</v>
      </c>
      <c r="C150" s="1">
        <f>Chu_ky!C18*(Chu_ky!D18*Tinh_toan_x2!E14*Tinh_toan_x2!E17+F150)</f>
        <v>-429.95557894736845</v>
      </c>
      <c r="D150" s="1">
        <f>E150*B150*2*Tinh_toan_x2!E13/Tinh_toan_x2!E12</f>
        <v>-17.192845844875354</v>
      </c>
      <c r="E150" s="1">
        <f>C150*Tinh_toan_x2!E12/(2*Tinh_toan_x2!E15*Tinh_toan_x2!E13)+(Tinh_toan_x2!C47+Tinh_toan_x2!E52+Tinh_toan_x2!E53/Tinh_toan_x2!E13^2)*2*Tinh_toan_x2!E13/Tinh_toan_x2!E12*F150</f>
        <v>0.22837253289473691</v>
      </c>
      <c r="F150" s="1">
        <f>Chu_ky!D18*(Chu_ky!F18+Chu_ky!E18*(Chu_ky!B18*2/10))</f>
        <v>2.5263157894736845E-2</v>
      </c>
      <c r="G150" s="1">
        <f>Chu_ky!D18*Chu_ky!E18</f>
        <v>0</v>
      </c>
      <c r="H150" s="1" t="str">
        <f>Chu_ky!A18</f>
        <v>Không tải giảm a</v>
      </c>
    </row>
    <row r="151" spans="1:8" ht="32.1" customHeight="1">
      <c r="A151" s="1">
        <f>Chu_ky!H18+(Chu_ky!B18*3/10)</f>
        <v>208.1</v>
      </c>
      <c r="B151" s="1">
        <f>Chu_ky!D18*(Chu_ky!G18+Chu_ky!F18*(Chu_ky!B18*3/10)+0.5*Chu_ky!E18*(Chu_ky!B18*3/10)^2)</f>
        <v>-8.2736842105263164E-2</v>
      </c>
      <c r="C151" s="1">
        <f>Chu_ky!C18*(Chu_ky!D18*Tinh_toan_x2!E14*Tinh_toan_x2!E17+F151)</f>
        <v>-429.95557894736845</v>
      </c>
      <c r="D151" s="1">
        <f>E151*B151*2*Tinh_toan_x2!E13/Tinh_toan_x2!E12</f>
        <v>-15.115857756232693</v>
      </c>
      <c r="E151" s="1">
        <f>C151*Tinh_toan_x2!E12/(2*Tinh_toan_x2!E15*Tinh_toan_x2!E13)+(Tinh_toan_x2!C47+Tinh_toan_x2!E52+Tinh_toan_x2!E53/Tinh_toan_x2!E13^2)*2*Tinh_toan_x2!E13/Tinh_toan_x2!E12*F151</f>
        <v>0.22837253289473691</v>
      </c>
      <c r="F151" s="1">
        <f>Chu_ky!D18*(Chu_ky!F18+Chu_ky!E18*(Chu_ky!B18*3/10))</f>
        <v>2.5263157894736845E-2</v>
      </c>
      <c r="G151" s="1">
        <f>Chu_ky!D18*Chu_ky!E18</f>
        <v>0</v>
      </c>
      <c r="H151" s="1" t="str">
        <f>Chu_ky!A18</f>
        <v>Không tải giảm a</v>
      </c>
    </row>
    <row r="152" spans="1:8" ht="32.1" customHeight="1">
      <c r="A152" s="1">
        <f>Chu_ky!H18+(Chu_ky!B18*4/10)</f>
        <v>208.55</v>
      </c>
      <c r="B152" s="1">
        <f>Chu_ky!D18*(Chu_ky!G18+Chu_ky!F18*(Chu_ky!B18*4/10)+0.5*Chu_ky!E18*(Chu_ky!B18*4/10)^2)</f>
        <v>-7.1368421052631581E-2</v>
      </c>
      <c r="C152" s="1">
        <f>Chu_ky!C18*(Chu_ky!D18*Tinh_toan_x2!E14*Tinh_toan_x2!E17+F152)</f>
        <v>-429.95557894736845</v>
      </c>
      <c r="D152" s="1">
        <f>E152*B152*2*Tinh_toan_x2!E13/Tinh_toan_x2!E12</f>
        <v>-13.038869667590033</v>
      </c>
      <c r="E152" s="1">
        <f>C152*Tinh_toan_x2!E12/(2*Tinh_toan_x2!E15*Tinh_toan_x2!E13)+(Tinh_toan_x2!C47+Tinh_toan_x2!E52+Tinh_toan_x2!E53/Tinh_toan_x2!E13^2)*2*Tinh_toan_x2!E13/Tinh_toan_x2!E12*F152</f>
        <v>0.22837253289473691</v>
      </c>
      <c r="F152" s="1">
        <f>Chu_ky!D18*(Chu_ky!F18+Chu_ky!E18*(Chu_ky!B18*4/10))</f>
        <v>2.5263157894736845E-2</v>
      </c>
      <c r="G152" s="1">
        <f>Chu_ky!D18*Chu_ky!E18</f>
        <v>0</v>
      </c>
      <c r="H152" s="1" t="str">
        <f>Chu_ky!A18</f>
        <v>Không tải giảm a</v>
      </c>
    </row>
    <row r="153" spans="1:8" ht="32.1" customHeight="1">
      <c r="A153" s="1">
        <f>Chu_ky!H18+(Chu_ky!B18*5/10)</f>
        <v>209</v>
      </c>
      <c r="B153" s="1">
        <f>Chu_ky!D18*(Chu_ky!G18+Chu_ky!F18*(Chu_ky!B18*5/10)+0.5*Chu_ky!E18*(Chu_ky!B18*5/10)^2)</f>
        <v>-0.06</v>
      </c>
      <c r="C153" s="1">
        <f>Chu_ky!C18*(Chu_ky!D18*Tinh_toan_x2!E14*Tinh_toan_x2!E17+F153)</f>
        <v>-429.95557894736845</v>
      </c>
      <c r="D153" s="1">
        <f>E153*B153*2*Tinh_toan_x2!E13/Tinh_toan_x2!E12</f>
        <v>-10.961881578947372</v>
      </c>
      <c r="E153" s="1">
        <f>C153*Tinh_toan_x2!E12/(2*Tinh_toan_x2!E15*Tinh_toan_x2!E13)+(Tinh_toan_x2!C47+Tinh_toan_x2!E52+Tinh_toan_x2!E53/Tinh_toan_x2!E13^2)*2*Tinh_toan_x2!E13/Tinh_toan_x2!E12*F153</f>
        <v>0.22837253289473691</v>
      </c>
      <c r="F153" s="1">
        <f>Chu_ky!D18*(Chu_ky!F18+Chu_ky!E18*(Chu_ky!B18*5/10))</f>
        <v>2.5263157894736845E-2</v>
      </c>
      <c r="G153" s="1">
        <f>Chu_ky!D18*Chu_ky!E18</f>
        <v>0</v>
      </c>
      <c r="H153" s="1" t="str">
        <f>Chu_ky!A18</f>
        <v>Không tải giảm a</v>
      </c>
    </row>
    <row r="154" spans="1:8" ht="32.1" customHeight="1">
      <c r="A154" s="1">
        <f>Chu_ky!H18+(Chu_ky!B18*6/10)</f>
        <v>209.45</v>
      </c>
      <c r="B154" s="1">
        <f>Chu_ky!D18*(Chu_ky!G18+Chu_ky!F18*(Chu_ky!B18*6/10)+0.5*Chu_ky!E18*(Chu_ky!B18*6/10)^2)</f>
        <v>-4.8631578947368415E-2</v>
      </c>
      <c r="C154" s="1">
        <f>Chu_ky!C18*(Chu_ky!D18*Tinh_toan_x2!E14*Tinh_toan_x2!E17+F154)</f>
        <v>-429.95557894736845</v>
      </c>
      <c r="D154" s="1">
        <f>E154*B154*2*Tinh_toan_x2!E13/Tinh_toan_x2!E12</f>
        <v>-8.8848934903047105</v>
      </c>
      <c r="E154" s="1">
        <f>C154*Tinh_toan_x2!E12/(2*Tinh_toan_x2!E15*Tinh_toan_x2!E13)+(Tinh_toan_x2!C47+Tinh_toan_x2!E52+Tinh_toan_x2!E53/Tinh_toan_x2!E13^2)*2*Tinh_toan_x2!E13/Tinh_toan_x2!E12*F154</f>
        <v>0.22837253289473691</v>
      </c>
      <c r="F154" s="1">
        <f>Chu_ky!D18*(Chu_ky!F18+Chu_ky!E18*(Chu_ky!B18*6/10))</f>
        <v>2.5263157894736845E-2</v>
      </c>
      <c r="G154" s="1">
        <f>Chu_ky!D18*Chu_ky!E18</f>
        <v>0</v>
      </c>
      <c r="H154" s="1" t="str">
        <f>Chu_ky!A18</f>
        <v>Không tải giảm a</v>
      </c>
    </row>
    <row r="155" spans="1:8" ht="32.1" customHeight="1">
      <c r="A155" s="1">
        <f>Chu_ky!H18+(Chu_ky!B18*7/10)</f>
        <v>209.9</v>
      </c>
      <c r="B155" s="1">
        <f>Chu_ky!D18*(Chu_ky!G18+Chu_ky!F18*(Chu_ky!B18*7/10)+0.5*Chu_ky!E18*(Chu_ky!B18*7/10)^2)</f>
        <v>-3.7263157894736845E-2</v>
      </c>
      <c r="C155" s="1">
        <f>Chu_ky!C18*(Chu_ky!D18*Tinh_toan_x2!E14*Tinh_toan_x2!E17+F155)</f>
        <v>-429.95557894736845</v>
      </c>
      <c r="D155" s="1">
        <f>E155*B155*2*Tinh_toan_x2!E13/Tinh_toan_x2!E12</f>
        <v>-6.8079054016620528</v>
      </c>
      <c r="E155" s="1">
        <f>C155*Tinh_toan_x2!E12/(2*Tinh_toan_x2!E15*Tinh_toan_x2!E13)+(Tinh_toan_x2!C47+Tinh_toan_x2!E52+Tinh_toan_x2!E53/Tinh_toan_x2!E13^2)*2*Tinh_toan_x2!E13/Tinh_toan_x2!E12*F155</f>
        <v>0.22837253289473691</v>
      </c>
      <c r="F155" s="1">
        <f>Chu_ky!D18*(Chu_ky!F18+Chu_ky!E18*(Chu_ky!B18*7/10))</f>
        <v>2.5263157894736845E-2</v>
      </c>
      <c r="G155" s="1">
        <f>Chu_ky!D18*Chu_ky!E18</f>
        <v>0</v>
      </c>
      <c r="H155" s="1" t="str">
        <f>Chu_ky!A18</f>
        <v>Không tải giảm a</v>
      </c>
    </row>
    <row r="156" spans="1:8" ht="32.1" customHeight="1">
      <c r="A156" s="1">
        <f>Chu_ky!H18+(Chu_ky!B18*8/10)</f>
        <v>210.35</v>
      </c>
      <c r="B156" s="1">
        <f>Chu_ky!D18*(Chu_ky!G18+Chu_ky!F18*(Chu_ky!B18*8/10)+0.5*Chu_ky!E18*(Chu_ky!B18*8/10)^2)</f>
        <v>-2.5894736842105262E-2</v>
      </c>
      <c r="C156" s="1">
        <f>Chu_ky!C18*(Chu_ky!D18*Tinh_toan_x2!E14*Tinh_toan_x2!E17+F156)</f>
        <v>-429.95557894736845</v>
      </c>
      <c r="D156" s="1">
        <f>E156*B156*2*Tinh_toan_x2!E13/Tinh_toan_x2!E12</f>
        <v>-4.7309173130193924</v>
      </c>
      <c r="E156" s="1">
        <f>C156*Tinh_toan_x2!E12/(2*Tinh_toan_x2!E15*Tinh_toan_x2!E13)+(Tinh_toan_x2!C47+Tinh_toan_x2!E52+Tinh_toan_x2!E53/Tinh_toan_x2!E13^2)*2*Tinh_toan_x2!E13/Tinh_toan_x2!E12*F156</f>
        <v>0.22837253289473691</v>
      </c>
      <c r="F156" s="1">
        <f>Chu_ky!D18*(Chu_ky!F18+Chu_ky!E18*(Chu_ky!B18*8/10))</f>
        <v>2.5263157894736845E-2</v>
      </c>
      <c r="G156" s="1">
        <f>Chu_ky!D18*Chu_ky!E18</f>
        <v>0</v>
      </c>
      <c r="H156" s="1" t="str">
        <f>Chu_ky!A18</f>
        <v>Không tải giảm a</v>
      </c>
    </row>
    <row r="157" spans="1:8" ht="32.1" customHeight="1">
      <c r="A157" s="1">
        <f>Chu_ky!H18+(Chu_ky!B18*9/10)</f>
        <v>210.8</v>
      </c>
      <c r="B157" s="1">
        <f>Chu_ky!D18*(Chu_ky!G18+Chu_ky!F18*(Chu_ky!B18*9/10)+0.5*Chu_ky!E18*(Chu_ky!B18*9/10)^2)</f>
        <v>-1.4526315789473679E-2</v>
      </c>
      <c r="C157" s="1">
        <f>Chu_ky!C18*(Chu_ky!D18*Tinh_toan_x2!E14*Tinh_toan_x2!E17+F157)</f>
        <v>-429.95557894736845</v>
      </c>
      <c r="D157" s="1">
        <f>E157*B157*2*Tinh_toan_x2!E13/Tinh_toan_x2!E12</f>
        <v>-2.6539292243767312</v>
      </c>
      <c r="E157" s="1">
        <f>C157*Tinh_toan_x2!E12/(2*Tinh_toan_x2!E15*Tinh_toan_x2!E13)+(Tinh_toan_x2!C47+Tinh_toan_x2!E52+Tinh_toan_x2!E53/Tinh_toan_x2!E13^2)*2*Tinh_toan_x2!E13/Tinh_toan_x2!E12*F157</f>
        <v>0.22837253289473691</v>
      </c>
      <c r="F157" s="1">
        <f>Chu_ky!D18*(Chu_ky!F18+Chu_ky!E18*(Chu_ky!B18*9/10))</f>
        <v>2.5263157894736845E-2</v>
      </c>
      <c r="G157" s="1">
        <f>Chu_ky!D18*Chu_ky!E18</f>
        <v>0</v>
      </c>
      <c r="H157" s="1" t="str">
        <f>Chu_ky!A18</f>
        <v>Không tải giảm a</v>
      </c>
    </row>
    <row r="158" spans="1:8" ht="32.1" customHeight="1">
      <c r="A158" s="1">
        <f>Chu_ky!H18+(Chu_ky!B18*10/10)</f>
        <v>211.25</v>
      </c>
      <c r="B158" s="1">
        <f>Chu_ky!D18*(Chu_ky!G18+Chu_ky!F18*(Chu_ky!B18*10/10)+0.5*Chu_ky!E18*(Chu_ky!B18*10/10)^2)</f>
        <v>-3.1578947368420957E-3</v>
      </c>
      <c r="C158" s="1">
        <f>Chu_ky!C18*(Chu_ky!D18*Tinh_toan_x2!E14*Tinh_toan_x2!E17+F158)</f>
        <v>-429.95557894736845</v>
      </c>
      <c r="D158" s="1">
        <f>E158*B158*2*Tinh_toan_x2!E13/Tinh_toan_x2!E12</f>
        <v>-0.57694113573407046</v>
      </c>
      <c r="E158" s="1">
        <f>C158*Tinh_toan_x2!E12/(2*Tinh_toan_x2!E15*Tinh_toan_x2!E13)+(Tinh_toan_x2!C47+Tinh_toan_x2!E52+Tinh_toan_x2!E53/Tinh_toan_x2!E13^2)*2*Tinh_toan_x2!E13/Tinh_toan_x2!E12*F158</f>
        <v>0.22837253289473691</v>
      </c>
      <c r="F158" s="1">
        <f>Chu_ky!D18*(Chu_ky!F18+Chu_ky!E18*(Chu_ky!B18*10/10))</f>
        <v>2.5263157894736845E-2</v>
      </c>
      <c r="G158" s="1">
        <f>Chu_ky!D18*Chu_ky!E18</f>
        <v>0</v>
      </c>
      <c r="H158" s="1" t="str">
        <f>Chu_ky!A18</f>
        <v>Không tải giảm a</v>
      </c>
    </row>
    <row r="159" spans="1:8" ht="32.1" customHeight="1">
      <c r="A159" s="1">
        <f>Chu_ky!H19+(Chu_ky!B19*0/10)</f>
        <v>211.25</v>
      </c>
      <c r="B159" s="1">
        <f>Chu_ky!D19*(Chu_ky!G19+Chu_ky!F19*(Chu_ky!B19*0/10)+0.5*Chu_ky!E19*(Chu_ky!B19*0/10)^2)</f>
        <v>-3.1578947368420957E-3</v>
      </c>
      <c r="C159" s="1">
        <f>Chu_ky!C19*(Chu_ky!D19*Tinh_toan_x2!E14*Tinh_toan_x2!E17+F159)</f>
        <v>-429.95557894736845</v>
      </c>
      <c r="D159" s="1">
        <f>E159*B159*2*Tinh_toan_x2!E13/Tinh_toan_x2!E12</f>
        <v>-0.57694113573407046</v>
      </c>
      <c r="E159" s="1">
        <f>C159*Tinh_toan_x2!E12/(2*Tinh_toan_x2!E15*Tinh_toan_x2!E13)+(Tinh_toan_x2!C47+Tinh_toan_x2!E52+Tinh_toan_x2!E53/Tinh_toan_x2!E13^2)*2*Tinh_toan_x2!E13/Tinh_toan_x2!E12*F159</f>
        <v>0.22837253289473691</v>
      </c>
      <c r="F159" s="1">
        <f>Chu_ky!D19*(Chu_ky!F19+Chu_ky!E19*(Chu_ky!B19*0/10))</f>
        <v>2.5263157894736845E-2</v>
      </c>
      <c r="G159" s="1">
        <f>Chu_ky!D19*Chu_ky!E19</f>
        <v>-0.10105263157894738</v>
      </c>
      <c r="H159" s="1" t="str">
        <f>Chu_ky!A19</f>
        <v>Không tải giảm j+</v>
      </c>
    </row>
    <row r="160" spans="1:8" ht="32.1" customHeight="1">
      <c r="A160" s="1">
        <f>Chu_ky!H19+(Chu_ky!B19*1/10)</f>
        <v>211.27500000000001</v>
      </c>
      <c r="B160" s="1">
        <f>Chu_ky!D19*(Chu_ky!G19+Chu_ky!F19*(Chu_ky!B19*1/10)+0.5*Chu_ky!E19*(Chu_ky!B19*1/10)^2)</f>
        <v>-2.5578947368420954E-3</v>
      </c>
      <c r="C160" s="1">
        <f>Chu_ky!C19*(Chu_ky!D19*Tinh_toan_x2!E14*Tinh_toan_x2!E17+F160)</f>
        <v>-430.51642105263164</v>
      </c>
      <c r="D160" s="1">
        <f>E160*B160*2*Tinh_toan_x2!E13/Tinh_toan_x2!E12</f>
        <v>-0.3045352063711898</v>
      </c>
      <c r="E160" s="1">
        <f>C160*Tinh_toan_x2!E12/(2*Tinh_toan_x2!E15*Tinh_toan_x2!E13)+(Tinh_toan_x2!C47+Tinh_toan_x2!E52+Tinh_toan_x2!E53/Tinh_toan_x2!E13^2)*2*Tinh_toan_x2!E13/Tinh_toan_x2!E12*F160</f>
        <v>0.14882121710526308</v>
      </c>
      <c r="F160" s="1">
        <f>Chu_ky!D19*(Chu_ky!F19+Chu_ky!E19*(Chu_ky!B19*1/10))</f>
        <v>2.2736842105263159E-2</v>
      </c>
      <c r="G160" s="1">
        <f>Chu_ky!D19*Chu_ky!E19</f>
        <v>-0.10105263157894738</v>
      </c>
      <c r="H160" s="1" t="str">
        <f>Chu_ky!A19</f>
        <v>Không tải giảm j+</v>
      </c>
    </row>
    <row r="161" spans="1:8" ht="32.1" customHeight="1">
      <c r="A161" s="1">
        <f>Chu_ky!H19+(Chu_ky!B19*2/10)</f>
        <v>211.3</v>
      </c>
      <c r="B161" s="1">
        <f>Chu_ky!D19*(Chu_ky!G19+Chu_ky!F19*(Chu_ky!B19*2/10)+0.5*Chu_ky!E19*(Chu_ky!B19*2/10)^2)</f>
        <v>-2.0210526315789378E-3</v>
      </c>
      <c r="C161" s="1">
        <f>Chu_ky!C19*(Chu_ky!D19*Tinh_toan_x2!E14*Tinh_toan_x2!E17+F161)</f>
        <v>-431.07726315789478</v>
      </c>
      <c r="D161" s="1">
        <f>E161*B161*2*Tinh_toan_x2!E13/Tinh_toan_x2!E12</f>
        <v>-0.11199849307479172</v>
      </c>
      <c r="E161" s="1">
        <f>C161*Tinh_toan_x2!E12/(2*Tinh_toan_x2!E15*Tinh_toan_x2!E13)+(Tinh_toan_x2!C47+Tinh_toan_x2!E52+Tinh_toan_x2!E53/Tinh_toan_x2!E13^2)*2*Tinh_toan_x2!E13/Tinh_toan_x2!E12*F161</f>
        <v>6.9269901315789473E-2</v>
      </c>
      <c r="F161" s="1">
        <f>Chu_ky!D19*(Chu_ky!F19+Chu_ky!E19*(Chu_ky!B19*2/10))</f>
        <v>2.0210526315789477E-2</v>
      </c>
      <c r="G161" s="1">
        <f>Chu_ky!D19*Chu_ky!E19</f>
        <v>-0.10105263157894738</v>
      </c>
      <c r="H161" s="1" t="str">
        <f>Chu_ky!A19</f>
        <v>Không tải giảm j+</v>
      </c>
    </row>
    <row r="162" spans="1:8" ht="32.1" customHeight="1">
      <c r="A162" s="1">
        <f>Chu_ky!H19+(Chu_ky!B19*3/10)</f>
        <v>211.32499999999999</v>
      </c>
      <c r="B162" s="1">
        <f>Chu_ky!D19*(Chu_ky!G19+Chu_ky!F19*(Chu_ky!B19*3/10)+0.5*Chu_ky!E19*(Chu_ky!B19*3/10)^2)</f>
        <v>-1.5473684210526219E-3</v>
      </c>
      <c r="C162" s="1">
        <f>Chu_ky!C19*(Chu_ky!D19*Tinh_toan_x2!E14*Tinh_toan_x2!E17+F162)</f>
        <v>-431.63810526315797</v>
      </c>
      <c r="D162" s="1">
        <f>E162*B162*2*Tinh_toan_x2!E13/Tinh_toan_x2!E12</f>
        <v>1.2727308864265895E-2</v>
      </c>
      <c r="E162" s="1">
        <f>C162*Tinh_toan_x2!E12/(2*Tinh_toan_x2!E15*Tinh_toan_x2!E13)+(Tinh_toan_x2!C47+Tinh_toan_x2!E52+Tinh_toan_x2!E53/Tinh_toan_x2!E13^2)*2*Tinh_toan_x2!E13/Tinh_toan_x2!E12*F162</f>
        <v>-1.0281414473684247E-2</v>
      </c>
      <c r="F162" s="1">
        <f>Chu_ky!D19*(Chu_ky!F19+Chu_ky!E19*(Chu_ky!B19*3/10))</f>
        <v>1.7684210526315792E-2</v>
      </c>
      <c r="G162" s="1">
        <f>Chu_ky!D19*Chu_ky!E19</f>
        <v>-0.10105263157894738</v>
      </c>
      <c r="H162" s="1" t="str">
        <f>Chu_ky!A19</f>
        <v>Không tải giảm j+</v>
      </c>
    </row>
    <row r="163" spans="1:8" ht="32.1" customHeight="1">
      <c r="A163" s="1">
        <f>Chu_ky!H19+(Chu_ky!B19*4/10)</f>
        <v>211.35</v>
      </c>
      <c r="B163" s="1">
        <f>Chu_ky!D19*(Chu_ky!G19+Chu_ky!F19*(Chu_ky!B19*4/10)+0.5*Chu_ky!E19*(Chu_ky!B19*4/10)^2)</f>
        <v>-1.1368421052631479E-3</v>
      </c>
      <c r="C163" s="1">
        <f>Chu_ky!C19*(Chu_ky!D19*Tinh_toan_x2!E14*Tinh_toan_x2!E17+F163)</f>
        <v>-432.1989473684211</v>
      </c>
      <c r="D163" s="1">
        <f>E163*B163*2*Tinh_toan_x2!E13/Tinh_toan_x2!E12</f>
        <v>8.1700504155123949E-2</v>
      </c>
      <c r="E163" s="1">
        <f>C163*Tinh_toan_x2!E12/(2*Tinh_toan_x2!E15*Tinh_toan_x2!E13)+(Tinh_toan_x2!C47+Tinh_toan_x2!E52+Tinh_toan_x2!E53/Tinh_toan_x2!E13^2)*2*Tinh_toan_x2!E13/Tinh_toan_x2!E12*F163</f>
        <v>-8.9832730263157912E-2</v>
      </c>
      <c r="F163" s="1">
        <f>Chu_ky!D19*(Chu_ky!F19+Chu_ky!E19*(Chu_ky!B19*4/10))</f>
        <v>1.5157894736842106E-2</v>
      </c>
      <c r="G163" s="1">
        <f>Chu_ky!D19*Chu_ky!E19</f>
        <v>-0.10105263157894738</v>
      </c>
      <c r="H163" s="1" t="str">
        <f>Chu_ky!A19</f>
        <v>Không tải giảm j+</v>
      </c>
    </row>
    <row r="164" spans="1:8" ht="32.1" customHeight="1">
      <c r="A164" s="1">
        <f>Chu_ky!H19+(Chu_ky!B19*5/10)</f>
        <v>211.375</v>
      </c>
      <c r="B164" s="1">
        <f>Chu_ky!D19*(Chu_ky!G19+Chu_ky!F19*(Chu_ky!B19*5/10)+0.5*Chu_ky!E19*(Chu_ky!B19*5/10)^2)</f>
        <v>-7.8947368421051643E-4</v>
      </c>
      <c r="C164" s="1">
        <f>Chu_ky!C19*(Chu_ky!D19*Tinh_toan_x2!E14*Tinh_toan_x2!E17+F164)</f>
        <v>-432.75978947368429</v>
      </c>
      <c r="D164" s="1">
        <f>E164*B164*2*Tinh_toan_x2!E13/Tinh_toan_x2!E12</f>
        <v>0.1069793975069239</v>
      </c>
      <c r="E164" s="1">
        <f>C164*Tinh_toan_x2!E12/(2*Tinh_toan_x2!E15*Tinh_toan_x2!E13)+(Tinh_toan_x2!C47+Tinh_toan_x2!E52+Tinh_toan_x2!E53/Tinh_toan_x2!E13^2)*2*Tinh_toan_x2!E13/Tinh_toan_x2!E12*F164</f>
        <v>-0.16938404605263163</v>
      </c>
      <c r="F164" s="1">
        <f>Chu_ky!D19*(Chu_ky!F19+Chu_ky!E19*(Chu_ky!B19*5/10))</f>
        <v>1.2631578947368423E-2</v>
      </c>
      <c r="G164" s="1">
        <f>Chu_ky!D19*Chu_ky!E19</f>
        <v>-0.10105263157894738</v>
      </c>
      <c r="H164" s="1" t="str">
        <f>Chu_ky!A19</f>
        <v>Không tải giảm j+</v>
      </c>
    </row>
    <row r="165" spans="1:8" ht="32.1" customHeight="1">
      <c r="A165" s="1">
        <f>Chu_ky!H19+(Chu_ky!B19*6/10)</f>
        <v>211.4</v>
      </c>
      <c r="B165" s="1">
        <f>Chu_ky!D19*(Chu_ky!G19+Chu_ky!F19*(Chu_ky!B19*6/10)+0.5*Chu_ky!E19*(Chu_ky!B19*6/10)^2)</f>
        <v>-5.0526315789472696E-4</v>
      </c>
      <c r="C165" s="1">
        <f>Chu_ky!C19*(Chu_ky!D19*Tinh_toan_x2!E14*Tinh_toan_x2!E17+F165)</f>
        <v>-433.32063157894737</v>
      </c>
      <c r="D165" s="1">
        <f>E165*B165*2*Tinh_toan_x2!E13/Tinh_toan_x2!E12</f>
        <v>0.10062229362880687</v>
      </c>
      <c r="E165" s="1">
        <f>C165*Tinh_toan_x2!E12/(2*Tinh_toan_x2!E15*Tinh_toan_x2!E13)+(Tinh_toan_x2!C47+Tinh_toan_x2!E52+Tinh_toan_x2!E53/Tinh_toan_x2!E13^2)*2*Tinh_toan_x2!E13/Tinh_toan_x2!E12*F165</f>
        <v>-0.24893536184210519</v>
      </c>
      <c r="F165" s="1">
        <f>Chu_ky!D19*(Chu_ky!F19+Chu_ky!E19*(Chu_ky!B19*6/10))</f>
        <v>1.0105263157894739E-2</v>
      </c>
      <c r="G165" s="1">
        <f>Chu_ky!D19*Chu_ky!E19</f>
        <v>-0.10105263157894738</v>
      </c>
      <c r="H165" s="1" t="str">
        <f>Chu_ky!A19</f>
        <v>Không tải giảm j+</v>
      </c>
    </row>
    <row r="166" spans="1:8" ht="32.1" customHeight="1">
      <c r="A166" s="1">
        <f>Chu_ky!H19+(Chu_ky!B19*7/10)</f>
        <v>211.42500000000001</v>
      </c>
      <c r="B166" s="1">
        <f>Chu_ky!D19*(Chu_ky!G19+Chu_ky!F19*(Chu_ky!B19*7/10)+0.5*Chu_ky!E19*(Chu_ky!B19*7/10)^2)</f>
        <v>-2.8421052631577917E-4</v>
      </c>
      <c r="C166" s="1">
        <f>Chu_ky!C19*(Chu_ky!D19*Tinh_toan_x2!E14*Tinh_toan_x2!E17+F166)</f>
        <v>-433.88147368421056</v>
      </c>
      <c r="D166" s="1">
        <f>E166*B166*2*Tinh_toan_x2!E13/Tinh_toan_x2!E12</f>
        <v>7.4687497229914204E-2</v>
      </c>
      <c r="E166" s="1">
        <f>C166*Tinh_toan_x2!E12/(2*Tinh_toan_x2!E15*Tinh_toan_x2!E13)+(Tinh_toan_x2!C47+Tinh_toan_x2!E52+Tinh_toan_x2!E53/Tinh_toan_x2!E13^2)*2*Tinh_toan_x2!E13/Tinh_toan_x2!E12*F166</f>
        <v>-0.32848667763157902</v>
      </c>
      <c r="F166" s="1">
        <f>Chu_ky!D19*(Chu_ky!F19+Chu_ky!E19*(Chu_ky!B19*7/10))</f>
        <v>7.5789473684210532E-3</v>
      </c>
      <c r="G166" s="1">
        <f>Chu_ky!D19*Chu_ky!E19</f>
        <v>-0.10105263157894738</v>
      </c>
      <c r="H166" s="1" t="str">
        <f>Chu_ky!A19</f>
        <v>Không tải giảm j+</v>
      </c>
    </row>
    <row r="167" spans="1:8" ht="32.1" customHeight="1">
      <c r="A167" s="1">
        <f>Chu_ky!H19+(Chu_ky!B19*8/10)</f>
        <v>211.45</v>
      </c>
      <c r="B167" s="1">
        <f>Chu_ky!D19*(Chu_ky!G19+Chu_ky!F19*(Chu_ky!B19*8/10)+0.5*Chu_ky!E19*(Chu_ky!B19*8/10)^2)</f>
        <v>-1.2631578947367448E-4</v>
      </c>
      <c r="C167" s="1">
        <f>Chu_ky!C19*(Chu_ky!D19*Tinh_toan_x2!E14*Tinh_toan_x2!E17+F167)</f>
        <v>-434.4423157894737</v>
      </c>
      <c r="D167" s="1">
        <f>E167*B167*2*Tinh_toan_x2!E13/Tinh_toan_x2!E12</f>
        <v>4.1233313019387409E-2</v>
      </c>
      <c r="E167" s="1">
        <f>C167*Tinh_toan_x2!E12/(2*Tinh_toan_x2!E15*Tinh_toan_x2!E13)+(Tinh_toan_x2!C47+Tinh_toan_x2!E52+Tinh_toan_x2!E53/Tinh_toan_x2!E13^2)*2*Tinh_toan_x2!E13/Tinh_toan_x2!E12*F167</f>
        <v>-0.40803799342105268</v>
      </c>
      <c r="F167" s="1">
        <f>Chu_ky!D19*(Chu_ky!F19+Chu_ky!E19*(Chu_ky!B19*8/10))</f>
        <v>5.0526315789473676E-3</v>
      </c>
      <c r="G167" s="1">
        <f>Chu_ky!D19*Chu_ky!E19</f>
        <v>-0.10105263157894738</v>
      </c>
      <c r="H167" s="1" t="str">
        <f>Chu_ky!A19</f>
        <v>Không tải giảm j+</v>
      </c>
    </row>
    <row r="168" spans="1:8" ht="32.1" customHeight="1">
      <c r="A168" s="1">
        <f>Chu_ky!H19+(Chu_ky!B19*9/10)</f>
        <v>211.47499999999999</v>
      </c>
      <c r="B168" s="1">
        <f>Chu_ky!D19*(Chu_ky!G19+Chu_ky!F19*(Chu_ky!B19*9/10)+0.5*Chu_ky!E19*(Chu_ky!B19*9/10)^2)</f>
        <v>-3.1578947368411572E-5</v>
      </c>
      <c r="C168" s="1">
        <f>Chu_ky!C19*(Chu_ky!D19*Tinh_toan_x2!E14*Tinh_toan_x2!E17+F168)</f>
        <v>-435.00315789473689</v>
      </c>
      <c r="D168" s="1">
        <f>E168*B168*2*Tinh_toan_x2!E13/Tinh_toan_x2!E12</f>
        <v>1.2318045706367494E-2</v>
      </c>
      <c r="E168" s="1">
        <f>C168*Tinh_toan_x2!E12/(2*Tinh_toan_x2!E15*Tinh_toan_x2!E13)+(Tinh_toan_x2!C47+Tinh_toan_x2!E52+Tinh_toan_x2!E53/Tinh_toan_x2!E13^2)*2*Tinh_toan_x2!E13/Tinh_toan_x2!E12*F168</f>
        <v>-0.48758930921052634</v>
      </c>
      <c r="F168" s="1">
        <f>Chu_ky!D19*(Chu_ky!F19+Chu_ky!E19*(Chu_ky!B19*9/10))</f>
        <v>2.5263157894736855E-3</v>
      </c>
      <c r="G168" s="1">
        <f>Chu_ky!D19*Chu_ky!E19</f>
        <v>-0.10105263157894738</v>
      </c>
      <c r="H168" s="1" t="str">
        <f>Chu_ky!A19</f>
        <v>Không tải giảm j+</v>
      </c>
    </row>
    <row r="169" spans="1:8" ht="32.1" customHeight="1">
      <c r="A169" s="1">
        <f>Chu_ky!H19+(Chu_ky!B19*10/10)</f>
        <v>211.5</v>
      </c>
      <c r="B169" s="1">
        <f>Chu_ky!D19*(Chu_ky!G19+Chu_ky!F19*(Chu_ky!B19*10/10)+0.5*Chu_ky!E19*(Chu_ky!B19*10/10)^2)</f>
        <v>9.9746599868666408E-18</v>
      </c>
      <c r="C169" s="1">
        <f>Chu_ky!C19*(Chu_ky!D19*Tinh_toan_x2!E14*Tinh_toan_x2!E17+F169)</f>
        <v>-435.56400000000002</v>
      </c>
      <c r="D169" s="1">
        <f>E169*B169*2*Tinh_toan_x2!E13/Tinh_toan_x2!E12</f>
        <v>-4.5256279192912311E-15</v>
      </c>
      <c r="E169" s="1">
        <f>C169*Tinh_toan_x2!E12/(2*Tinh_toan_x2!E15*Tinh_toan_x2!E13)+(Tinh_toan_x2!C47+Tinh_toan_x2!E52+Tinh_toan_x2!E53/Tinh_toan_x2!E13^2)*2*Tinh_toan_x2!E13/Tinh_toan_x2!E12*F169</f>
        <v>-0.56714062500000006</v>
      </c>
      <c r="F169" s="1">
        <f>Chu_ky!D19*(Chu_ky!F19+Chu_ky!E19*(Chu_ky!B19*10/10))</f>
        <v>0</v>
      </c>
      <c r="G169" s="1">
        <f>Chu_ky!D19*Chu_ky!E19</f>
        <v>-0.10105263157894738</v>
      </c>
      <c r="H169" s="1" t="str">
        <f>Chu_ky!A19</f>
        <v>Không tải giảm j+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42" customWidth="1"/>
    <col min="2" max="2" width="27" customWidth="1"/>
    <col min="3" max="3" width="12" customWidth="1"/>
    <col min="4" max="4" width="66" customWidth="1"/>
  </cols>
  <sheetData>
    <row r="1" spans="1:4" ht="32.1" customHeight="1">
      <c r="A1" s="8" t="s">
        <v>265</v>
      </c>
      <c r="B1" s="8"/>
      <c r="C1" s="8"/>
      <c r="D1" s="8"/>
    </row>
    <row r="2" spans="1:4" ht="32.1" customHeight="1">
      <c r="A2" s="1"/>
      <c r="B2" s="1"/>
      <c r="C2" s="1"/>
      <c r="D2" s="1"/>
    </row>
    <row r="3" spans="1:4" ht="32.1" customHeight="1">
      <c r="A3" s="1"/>
      <c r="B3" s="1"/>
      <c r="C3" s="1"/>
      <c r="D3" s="1"/>
    </row>
    <row r="4" spans="1:4" ht="32.1" customHeight="1">
      <c r="A4" s="3" t="s">
        <v>266</v>
      </c>
      <c r="B4" s="3" t="s">
        <v>267</v>
      </c>
      <c r="C4" s="3" t="s">
        <v>6</v>
      </c>
      <c r="D4" s="3" t="s">
        <v>268</v>
      </c>
    </row>
    <row r="5" spans="1:4" ht="42.95" customHeight="1">
      <c r="A5" s="1" t="s">
        <v>269</v>
      </c>
      <c r="B5" s="1" t="s">
        <v>270</v>
      </c>
      <c r="C5" s="1"/>
      <c r="D5" s="1" t="s">
        <v>271</v>
      </c>
    </row>
    <row r="6" spans="1:4" ht="42.95" customHeight="1">
      <c r="A6" s="1" t="s">
        <v>132</v>
      </c>
      <c r="B6" s="7">
        <f>Tinh_toan_x2!C33</f>
        <v>5.5</v>
      </c>
      <c r="C6" s="1" t="s">
        <v>133</v>
      </c>
      <c r="D6" s="1" t="s">
        <v>272</v>
      </c>
    </row>
    <row r="7" spans="1:4" ht="42.95" customHeight="1">
      <c r="A7" s="1" t="s">
        <v>273</v>
      </c>
      <c r="B7" s="7">
        <f>Tinh_toan_x2!E24/1000</f>
        <v>4.5955691999999999</v>
      </c>
      <c r="C7" s="1" t="s">
        <v>133</v>
      </c>
      <c r="D7" s="1" t="s">
        <v>274</v>
      </c>
    </row>
    <row r="8" spans="1:4" ht="42.95" customHeight="1">
      <c r="A8" s="1" t="s">
        <v>275</v>
      </c>
      <c r="B8" s="7">
        <f>Chu_ky!B25/1000</f>
        <v>1.9246694715794124</v>
      </c>
      <c r="C8" s="1" t="s">
        <v>133</v>
      </c>
      <c r="D8" s="1" t="s">
        <v>276</v>
      </c>
    </row>
    <row r="9" spans="1:4" ht="42.95" customHeight="1">
      <c r="A9" s="1" t="s">
        <v>277</v>
      </c>
      <c r="B9" s="7">
        <f>Tinh_toan_x2!C42</f>
        <v>53.9</v>
      </c>
      <c r="C9" s="1" t="s">
        <v>192</v>
      </c>
      <c r="D9" s="1" t="s">
        <v>278</v>
      </c>
    </row>
    <row r="10" spans="1:4" ht="42.95" customHeight="1">
      <c r="A10" s="1" t="s">
        <v>279</v>
      </c>
      <c r="B10" s="7">
        <f>Tinh_toan_x2!C43</f>
        <v>107.8</v>
      </c>
      <c r="C10" s="1" t="s">
        <v>192</v>
      </c>
      <c r="D10" s="1" t="s">
        <v>280</v>
      </c>
    </row>
    <row r="11" spans="1:4" ht="42.95" customHeight="1">
      <c r="A11" s="1" t="s">
        <v>281</v>
      </c>
      <c r="B11" s="7">
        <f>Tinh_toan_x2!E56</f>
        <v>42.049237500000004</v>
      </c>
      <c r="C11" s="1" t="s">
        <v>192</v>
      </c>
      <c r="D11" s="1" t="s">
        <v>282</v>
      </c>
    </row>
    <row r="12" spans="1:4" ht="42.95" customHeight="1">
      <c r="A12" s="1" t="s">
        <v>283</v>
      </c>
      <c r="B12" s="7">
        <f>Tinh_toan_x2!E57</f>
        <v>66.590512500000003</v>
      </c>
      <c r="C12" s="1" t="s">
        <v>192</v>
      </c>
      <c r="D12" s="1" t="s">
        <v>284</v>
      </c>
    </row>
    <row r="13" spans="1:4" ht="42.95" customHeight="1">
      <c r="A13" s="1" t="s">
        <v>285</v>
      </c>
      <c r="B13" s="7">
        <f>Chu_ky!B26</f>
        <v>20.973820904570346</v>
      </c>
      <c r="C13" s="1" t="s">
        <v>192</v>
      </c>
      <c r="D13" s="1" t="s">
        <v>286</v>
      </c>
    </row>
    <row r="14" spans="1:4" ht="42.95" customHeight="1">
      <c r="A14" s="1" t="s">
        <v>287</v>
      </c>
      <c r="B14" s="7">
        <f>Tinh_toan_x2!E59</f>
        <v>1.2354455009276439</v>
      </c>
      <c r="C14" s="1"/>
      <c r="D14" s="1" t="s">
        <v>288</v>
      </c>
    </row>
    <row r="15" spans="1:4" ht="42.95" customHeight="1">
      <c r="A15" s="1" t="s">
        <v>289</v>
      </c>
      <c r="B15" s="7">
        <f>Tinh_toan_x2!C40</f>
        <v>12</v>
      </c>
      <c r="C15" s="1" t="s">
        <v>164</v>
      </c>
      <c r="D15" s="1" t="s">
        <v>290</v>
      </c>
    </row>
    <row r="16" spans="1:4" ht="42.95" customHeight="1">
      <c r="A16" s="1" t="s">
        <v>291</v>
      </c>
      <c r="B16" s="7">
        <f>1.3*Tinh_toan_x2!C33</f>
        <v>7.15</v>
      </c>
      <c r="C16" s="1" t="s">
        <v>133</v>
      </c>
      <c r="D16" s="1" t="s">
        <v>292</v>
      </c>
    </row>
    <row r="17" spans="1:4" ht="42.95" customHeight="1">
      <c r="A17" s="1" t="s">
        <v>293</v>
      </c>
      <c r="B17" s="7">
        <v>7.5</v>
      </c>
      <c r="C17" s="1" t="s">
        <v>133</v>
      </c>
      <c r="D17" s="1" t="s">
        <v>294</v>
      </c>
    </row>
    <row r="18" spans="1:4" ht="42.95" customHeight="1">
      <c r="A18" s="1" t="s">
        <v>295</v>
      </c>
      <c r="B18" s="7">
        <f>1.5*Tinh_toan_x2!C40</f>
        <v>18</v>
      </c>
      <c r="C18" s="1" t="s">
        <v>164</v>
      </c>
      <c r="D18" s="1" t="s">
        <v>296</v>
      </c>
    </row>
    <row r="19" spans="1:4" ht="42.95" customHeight="1">
      <c r="A19" s="1" t="s">
        <v>297</v>
      </c>
      <c r="B19" s="7">
        <v>20</v>
      </c>
      <c r="C19" s="1" t="s">
        <v>164</v>
      </c>
      <c r="D19" s="1" t="s">
        <v>298</v>
      </c>
    </row>
    <row r="20" spans="1:4" ht="42.95" customHeight="1">
      <c r="A20" s="1" t="s">
        <v>299</v>
      </c>
      <c r="B20" s="7">
        <f>0.5*(Tinh_toan_x2!E6+Tinh_toan_x2!E7+Tinh_toan_x2!E51)*Tinh_toan_x2!E9^2+0.5*(Tinh_toan_x2!C47+Tinh_toan_x2!E52+Tinh_toan_x2!E53/Tinh_toan_x2!E13^2)*Tinh_toan_x2!M35^2</f>
        <v>269.30880000000008</v>
      </c>
      <c r="C20" s="1" t="s">
        <v>183</v>
      </c>
      <c r="D20" s="1" t="s">
        <v>300</v>
      </c>
    </row>
    <row r="21" spans="1:4" ht="42.95" customHeight="1">
      <c r="A21" s="1" t="s">
        <v>301</v>
      </c>
      <c r="B21" s="7">
        <f>B20*Tinh_toan_x2!E16</f>
        <v>323.17056000000008</v>
      </c>
      <c r="C21" s="1" t="s">
        <v>183</v>
      </c>
      <c r="D21" s="1" t="s">
        <v>302</v>
      </c>
    </row>
    <row r="22" spans="1:4" ht="42.95" customHeight="1">
      <c r="A22" s="1" t="s">
        <v>303</v>
      </c>
      <c r="B22" s="1" t="s">
        <v>304</v>
      </c>
      <c r="C22" s="1" t="s">
        <v>305</v>
      </c>
      <c r="D22" s="1" t="s">
        <v>306</v>
      </c>
    </row>
    <row r="23" spans="1:4" ht="42.95" customHeight="1">
      <c r="A23" s="1" t="s">
        <v>307</v>
      </c>
      <c r="B23" s="1" t="str">
        <f>IF(AND(Tinh_toan_x2!C33*1000&gt;=Chu_ky!B30,Tinh_toan_x2!C42&gt;=Tinh_toan_x2!E56),"Đạt sơ bộ","CẦN CHỌN LẠI")</f>
        <v>Đạt sơ bộ</v>
      </c>
      <c r="C23" s="1"/>
      <c r="D23" s="1" t="s">
        <v>308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Tính toán chi tiết động cơ  (2)</vt:lpstr>
      <vt:lpstr>Tinh_toan_x2</vt:lpstr>
      <vt:lpstr>Chu_ky</vt:lpstr>
      <vt:lpstr>Do_thi</vt:lpstr>
      <vt:lpstr>Thiet_bi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Inguy</cp:lastModifiedBy>
  <cp:lastPrinted>2026-09-23T11:07:44Z</cp:lastPrinted>
  <dcterms:modified xsi:type="dcterms:W3CDTF">2026-09-23T11:14:32Z</dcterms:modified>
</cp:coreProperties>
</file>